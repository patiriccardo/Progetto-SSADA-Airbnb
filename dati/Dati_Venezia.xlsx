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25812B07-F944-4FBB-8A7A-825D21A98B50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Res_loc_com" sheetId="3" r:id="rId1"/>
    <sheet name="Res_nat_su_tot" sheetId="4" r:id="rId2"/>
    <sheet name="Superficie" sheetId="5" r:id="rId3"/>
    <sheet name="Superficie_com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F21" i="6"/>
  <c r="F20" i="6"/>
  <c r="F19" i="6"/>
  <c r="F18" i="6"/>
  <c r="F17" i="6"/>
  <c r="F16" i="6"/>
  <c r="F15" i="6"/>
  <c r="F14" i="6"/>
  <c r="F23" i="6" l="1"/>
</calcChain>
</file>

<file path=xl/sharedStrings.xml><?xml version="1.0" encoding="utf-8"?>
<sst xmlns="http://schemas.openxmlformats.org/spreadsheetml/2006/main" count="245" uniqueCount="84">
  <si>
    <t>Quartiere Denominazione</t>
  </si>
  <si>
    <t>residenti al 31.12.1997</t>
  </si>
  <si>
    <t>residenti al 31.12.1998</t>
  </si>
  <si>
    <t>residenti al 31.12.1999</t>
  </si>
  <si>
    <t>residenti al 31.12.2000</t>
  </si>
  <si>
    <t>residenti al 31.12.2001</t>
  </si>
  <si>
    <t>residenti al 31.12.2002</t>
  </si>
  <si>
    <t>residenti al 31.12.2003</t>
  </si>
  <si>
    <t>residenti al 31.12.2004</t>
  </si>
  <si>
    <t>residenti al 31.12.2005</t>
  </si>
  <si>
    <t>residenti al 31.12.2006</t>
  </si>
  <si>
    <t>residenti al 31.12.2007</t>
  </si>
  <si>
    <t>residenti al 31.12.2008</t>
  </si>
  <si>
    <t>residenti al 31.12.2009</t>
  </si>
  <si>
    <t>residenti al 31.12.2010</t>
  </si>
  <si>
    <t>residenti al 31.12.2011</t>
  </si>
  <si>
    <t>residenti al 31.12.2012</t>
  </si>
  <si>
    <t>residenti al 31.12.2013</t>
  </si>
  <si>
    <t>residenti al 31.12.2014</t>
  </si>
  <si>
    <t>residenti al 31.12.2015</t>
  </si>
  <si>
    <t>residenti al 31.12.2016</t>
  </si>
  <si>
    <t>residenti al 31.12.2017</t>
  </si>
  <si>
    <t>residenti al 31.12.2018</t>
  </si>
  <si>
    <t>residenti al 31.12.2019</t>
  </si>
  <si>
    <t>residenti al 31.12.2020</t>
  </si>
  <si>
    <t>residenti al 31.12.2021</t>
  </si>
  <si>
    <t>residenti al 31.12.2022</t>
  </si>
  <si>
    <t>residenti al 31.12.2023</t>
  </si>
  <si>
    <t>residenti al 31.12.2024</t>
  </si>
  <si>
    <t>residenti al 31.12.2025</t>
  </si>
  <si>
    <t>S.Marco-Castello-S.Elena-Cannaregio</t>
  </si>
  <si>
    <t>Dorsoduro-S.Polo-S.Croce-Giudecca</t>
  </si>
  <si>
    <t>Lido-Malamocco-Alberoni</t>
  </si>
  <si>
    <t>Pellestrina-S.Pietro in Volta</t>
  </si>
  <si>
    <t>Murano-S.Erasmo</t>
  </si>
  <si>
    <t>Burano-Mazzorbo-Torcello</t>
  </si>
  <si>
    <t>Favaro-Campalto</t>
  </si>
  <si>
    <t>Carpenedo-Bissuola</t>
  </si>
  <si>
    <t>Mestre Centro</t>
  </si>
  <si>
    <t>Cipressina-Zelarino-Trivignano</t>
  </si>
  <si>
    <t>Chirignago-Gazzera</t>
  </si>
  <si>
    <t>Marghera-Catene-Malcontenta</t>
  </si>
  <si>
    <t>VENEZIA-MURANO-BURANO</t>
  </si>
  <si>
    <t>LIDO-PELLESTRINA</t>
  </si>
  <si>
    <t>FAVARO VENETO</t>
  </si>
  <si>
    <t>MESTRE-CARPENEDO</t>
  </si>
  <si>
    <t>CHIRIGNAGO-ZELARINO</t>
  </si>
  <si>
    <t>MARGHERA</t>
  </si>
  <si>
    <t>CENTRO STORICO</t>
  </si>
  <si>
    <t>ESTUARIO</t>
  </si>
  <si>
    <t>TERRAFERMA</t>
  </si>
  <si>
    <t>TOTALE COMUNE</t>
  </si>
  <si>
    <t>Anno 2010</t>
  </si>
  <si>
    <t>Anno 2011</t>
  </si>
  <si>
    <t>Anno 2012</t>
  </si>
  <si>
    <t>Anno 2013</t>
  </si>
  <si>
    <t>Anno 2014</t>
  </si>
  <si>
    <t>Anno 2015</t>
  </si>
  <si>
    <t>Anno 2016</t>
  </si>
  <si>
    <t>Anno 2017</t>
  </si>
  <si>
    <t>Anno 2018</t>
  </si>
  <si>
    <t>Anno 2019</t>
  </si>
  <si>
    <t>Anno 2020</t>
  </si>
  <si>
    <t>Anno 2021</t>
  </si>
  <si>
    <t>Anno 2022</t>
  </si>
  <si>
    <t>Anno 2023</t>
  </si>
  <si>
    <t>Anno 2024</t>
  </si>
  <si>
    <t>Anno 2025</t>
  </si>
  <si>
    <t>Anno 2026</t>
  </si>
  <si>
    <t>pop.res</t>
  </si>
  <si>
    <t>nativi</t>
  </si>
  <si>
    <t>nativi %</t>
  </si>
  <si>
    <r>
      <t>Totale  superficie (</t>
    </r>
    <r>
      <rPr>
        <u/>
        <sz val="9"/>
        <color theme="1"/>
        <rFont val="Times"/>
        <charset val="1"/>
      </rPr>
      <t>acque escluse</t>
    </r>
    <r>
      <rPr>
        <sz val="9"/>
        <color theme="1"/>
        <rFont val="Times"/>
        <charset val="1"/>
      </rPr>
      <t>)</t>
    </r>
  </si>
  <si>
    <t>abitanti per Kmq</t>
  </si>
  <si>
    <t>Mq per abitante </t>
  </si>
  <si>
    <t>Superf. (Ha)</t>
  </si>
  <si>
    <t>Superf. (Kmq)</t>
  </si>
  <si>
    <t>Superf. (mq)</t>
  </si>
  <si>
    <t>n</t>
  </si>
  <si>
    <t>Denominazione</t>
  </si>
  <si>
    <t>Popolazione residente al 31/12/ 2025</t>
  </si>
  <si>
    <t>Mq per abitante</t>
  </si>
  <si>
    <t>Municipalità alta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</si>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</sst>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sz val="9"/>
      <color theme="1"/>
      <name val="Times"/>
      <charset val="1"/>
    </font>
    <font>
      <u/>
      <sz val="9"/>
      <color theme="1"/>
      <name val="Times"/>
      <charset val="1"/>
    </font>
    <font>
      <b/>
      <sz val="10"/>
      <color rgb="FF000000"/>
      <name val="Liberation Sans"/>
    </font>
    <font>
      <sz val="10"/>
      <color theme="1"/>
      <name val="Arial1"/>
    </font>
    <font>
      <b/>
      <sz val="10"/>
      <color rgb="FF000000"/>
      <name val="Arial"/>
    </font>
    <font>
      <b/>
      <sz val="10"/>
      <color rgb="FF000000"/>
      <name val="Arial1"/>
    </font>
    <font>
      <sz val="9"/>
      <color rgb="FF000000"/>
      <name val="Arial"/>
    </font>
    <font>
      <sz val="9"/>
      <color rgb="FF000000"/>
      <name val="Arial1"/>
    </font>
    <font>
      <sz val="10"/>
      <color rgb="FF000000"/>
      <name val="Liberation Sans"/>
    </font>
    <font>
      <b/>
      <sz val="9"/>
      <color rgb="FF000000"/>
      <name val="Arial"/>
    </font>
    <font>
      <b/>
      <sz val="9"/>
      <color rgb="FF000000"/>
      <name val="Arial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1" fillId="0" borderId="3" xfId="0" applyFont="1" applyBorder="1"/>
    <xf numFmtId="0" fontId="1" fillId="0" borderId="4" xfId="0" applyFont="1" applyBorder="1"/>
    <xf numFmtId="3" fontId="1" fillId="0" borderId="2" xfId="0" applyNumberFormat="1" applyFont="1" applyBorder="1"/>
    <xf numFmtId="0" fontId="1" fillId="0" borderId="2" xfId="0" applyFont="1" applyBorder="1"/>
    <xf numFmtId="4" fontId="1" fillId="0" borderId="1" xfId="0" applyNumberFormat="1" applyFont="1" applyBorder="1"/>
    <xf numFmtId="0" fontId="3" fillId="0" borderId="0" xfId="0" applyFont="1" applyAlignment="1">
      <alignment horizontal="left"/>
    </xf>
    <xf numFmtId="164" fontId="5" fillId="0" borderId="0" xfId="1" applyNumberFormat="1" applyFont="1" applyFill="1" applyBorder="1" applyAlignment="1">
      <alignment horizontal="left"/>
    </xf>
    <xf numFmtId="0" fontId="6" fillId="0" borderId="0" xfId="1" applyFont="1" applyFill="1" applyBorder="1" applyAlignment="1">
      <alignment horizontal="left" wrapText="1"/>
    </xf>
    <xf numFmtId="3" fontId="7" fillId="0" borderId="0" xfId="1" applyNumberFormat="1" applyFont="1" applyFill="1" applyBorder="1" applyAlignment="1">
      <alignment horizontal="left" vertical="center"/>
    </xf>
    <xf numFmtId="164" fontId="7" fillId="0" borderId="0" xfId="1" applyNumberFormat="1" applyFont="1" applyFill="1" applyBorder="1" applyAlignment="1">
      <alignment horizontal="left" vertical="center"/>
    </xf>
    <xf numFmtId="164" fontId="8" fillId="0" borderId="0" xfId="1" applyNumberFormat="1" applyFont="1" applyFill="1" applyBorder="1" applyAlignment="1">
      <alignment horizontal="left"/>
    </xf>
    <xf numFmtId="3" fontId="8" fillId="0" borderId="0" xfId="1" applyNumberFormat="1" applyFont="1" applyFill="1" applyBorder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164" fontId="5" fillId="0" borderId="0" xfId="1" applyNumberFormat="1" applyFont="1" applyFill="1" applyBorder="1" applyAlignment="1">
      <alignment horizontal="left" vertical="center"/>
    </xf>
    <xf numFmtId="164" fontId="10" fillId="0" borderId="0" xfId="1" applyNumberFormat="1" applyFont="1" applyFill="1" applyBorder="1" applyAlignment="1">
      <alignment horizontal="left"/>
    </xf>
    <xf numFmtId="3" fontId="10" fillId="0" borderId="0" xfId="1" applyNumberFormat="1" applyFont="1" applyFill="1" applyBorder="1" applyAlignment="1">
      <alignment horizontal="left"/>
    </xf>
    <xf numFmtId="3" fontId="11" fillId="0" borderId="0" xfId="1" applyNumberFormat="1" applyFont="1" applyFill="1" applyBorder="1" applyAlignment="1">
      <alignment horizontal="left"/>
    </xf>
    <xf numFmtId="0" fontId="1" fillId="0" borderId="3" xfId="0" applyFont="1" applyBorder="1" applyAlignment="1"/>
    <xf numFmtId="0" fontId="1" fillId="0" borderId="4" xfId="0" applyFont="1" applyBorder="1" applyAlignment="1"/>
  </cellXfs>
  <cellStyles count="2">
    <cellStyle name="Default" xfId="1" xr:uid="{719F451F-8609-4D83-940E-752863311A08}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11BA-321B-4B7C-87AB-71AB71CC23FD}">
  <dimension ref="A1:AD23"/>
  <sheetViews>
    <sheetView tabSelected="1" workbookViewId="0">
      <selection activeCell="A14" sqref="A14:XFD14"/>
    </sheetView>
  </sheetViews>
  <sheetFormatPr defaultRowHeight="15"/>
  <cols>
    <col min="1" max="1" width="30.140625" bestFit="1" customWidth="1"/>
    <col min="2" max="30" width="18.28515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6" t="s">
        <v>29</v>
      </c>
    </row>
    <row r="2" spans="1:30">
      <c r="A2" s="1" t="s">
        <v>30</v>
      </c>
      <c r="B2" s="2">
        <v>41782</v>
      </c>
      <c r="C2" s="2">
        <v>41334</v>
      </c>
      <c r="D2" s="2">
        <v>40798</v>
      </c>
      <c r="E2" s="2">
        <v>40447</v>
      </c>
      <c r="F2" s="2">
        <v>39891</v>
      </c>
      <c r="G2" s="2">
        <v>38926</v>
      </c>
      <c r="H2" s="2">
        <v>38807</v>
      </c>
      <c r="I2" s="2">
        <v>38385</v>
      </c>
      <c r="J2" s="2">
        <v>37684</v>
      </c>
      <c r="K2" s="2">
        <v>37126</v>
      </c>
      <c r="L2" s="2">
        <v>36491</v>
      </c>
      <c r="M2" s="2">
        <v>36313</v>
      </c>
      <c r="N2" s="2">
        <v>36061</v>
      </c>
      <c r="O2" s="2">
        <v>35832</v>
      </c>
      <c r="P2" s="2">
        <v>35406</v>
      </c>
      <c r="Q2" s="2">
        <v>34910</v>
      </c>
      <c r="R2" s="2">
        <v>34026</v>
      </c>
      <c r="S2" s="2">
        <v>33839</v>
      </c>
      <c r="T2" s="2">
        <v>33306</v>
      </c>
      <c r="U2" s="2">
        <v>32785</v>
      </c>
      <c r="V2" s="2">
        <v>32181</v>
      </c>
      <c r="W2" s="2">
        <v>31655</v>
      </c>
      <c r="X2" s="2">
        <v>31128</v>
      </c>
      <c r="Y2" s="2">
        <v>30616</v>
      </c>
      <c r="Z2" s="2">
        <v>30213</v>
      </c>
      <c r="AA2" s="2">
        <v>29744</v>
      </c>
      <c r="AB2" s="2">
        <v>29357</v>
      </c>
      <c r="AC2" s="2">
        <v>29015</v>
      </c>
      <c r="AD2" s="5">
        <v>28512</v>
      </c>
    </row>
    <row r="3" spans="1:30">
      <c r="A3" s="1" t="s">
        <v>31</v>
      </c>
      <c r="B3" s="2">
        <v>26818</v>
      </c>
      <c r="C3" s="2">
        <v>26504</v>
      </c>
      <c r="D3" s="2">
        <v>26147</v>
      </c>
      <c r="E3" s="2">
        <v>25939</v>
      </c>
      <c r="F3" s="2">
        <v>25804</v>
      </c>
      <c r="G3" s="2">
        <v>25150</v>
      </c>
      <c r="H3" s="2">
        <v>25140</v>
      </c>
      <c r="I3" s="2">
        <v>24968</v>
      </c>
      <c r="J3" s="2">
        <v>24612</v>
      </c>
      <c r="K3" s="2">
        <v>24485</v>
      </c>
      <c r="L3" s="2">
        <v>24264</v>
      </c>
      <c r="M3" s="2">
        <v>23998</v>
      </c>
      <c r="N3" s="2">
        <v>23881</v>
      </c>
      <c r="O3" s="2">
        <v>23789</v>
      </c>
      <c r="P3" s="2">
        <v>23585</v>
      </c>
      <c r="Q3" s="2">
        <v>23305</v>
      </c>
      <c r="R3" s="2">
        <v>22657</v>
      </c>
      <c r="S3" s="2">
        <v>22472</v>
      </c>
      <c r="T3" s="2">
        <v>22283</v>
      </c>
      <c r="U3" s="2">
        <v>21920</v>
      </c>
      <c r="V3" s="2">
        <v>21618</v>
      </c>
      <c r="W3" s="2">
        <v>21341</v>
      </c>
      <c r="X3" s="2">
        <v>21015</v>
      </c>
      <c r="Y3" s="2">
        <v>20592</v>
      </c>
      <c r="Z3" s="2">
        <v>20221</v>
      </c>
      <c r="AA3" s="2">
        <v>19921</v>
      </c>
      <c r="AB3" s="2">
        <v>19772</v>
      </c>
      <c r="AC3" s="2">
        <v>19474</v>
      </c>
      <c r="AD3" s="5">
        <v>19113</v>
      </c>
    </row>
    <row r="4" spans="1:30">
      <c r="A4" s="1" t="s">
        <v>32</v>
      </c>
      <c r="B4" s="2">
        <v>18841</v>
      </c>
      <c r="C4" s="2">
        <v>18659</v>
      </c>
      <c r="D4" s="2">
        <v>18518</v>
      </c>
      <c r="E4" s="2">
        <v>18321</v>
      </c>
      <c r="F4" s="2">
        <v>18178</v>
      </c>
      <c r="G4" s="2">
        <v>17985</v>
      </c>
      <c r="H4" s="2">
        <v>17975</v>
      </c>
      <c r="I4" s="2">
        <v>17859</v>
      </c>
      <c r="J4" s="2">
        <v>17662</v>
      </c>
      <c r="K4" s="2">
        <v>17464</v>
      </c>
      <c r="L4" s="2">
        <v>17462</v>
      </c>
      <c r="M4" s="2">
        <v>17468</v>
      </c>
      <c r="N4" s="2">
        <v>17436</v>
      </c>
      <c r="O4" s="2">
        <v>17323</v>
      </c>
      <c r="P4" s="2">
        <v>17249</v>
      </c>
      <c r="Q4" s="2">
        <v>17144</v>
      </c>
      <c r="R4" s="2">
        <v>16927</v>
      </c>
      <c r="S4" s="2">
        <v>16801</v>
      </c>
      <c r="T4" s="2">
        <v>16709</v>
      </c>
      <c r="U4" s="2">
        <v>16604</v>
      </c>
      <c r="V4" s="2">
        <v>16540</v>
      </c>
      <c r="W4" s="2">
        <v>16474</v>
      </c>
      <c r="X4" s="2">
        <v>16469</v>
      </c>
      <c r="Y4" s="2">
        <v>16264</v>
      </c>
      <c r="Z4" s="2">
        <v>16050</v>
      </c>
      <c r="AA4" s="2">
        <v>15934</v>
      </c>
      <c r="AB4" s="2">
        <v>15786</v>
      </c>
      <c r="AC4" s="2">
        <v>15605</v>
      </c>
      <c r="AD4" s="5">
        <v>15346</v>
      </c>
    </row>
    <row r="5" spans="1:30">
      <c r="A5" s="1" t="s">
        <v>33</v>
      </c>
      <c r="B5" s="2">
        <v>4675</v>
      </c>
      <c r="C5" s="2">
        <v>4617</v>
      </c>
      <c r="D5" s="2">
        <v>4558</v>
      </c>
      <c r="E5" s="2">
        <v>4509</v>
      </c>
      <c r="F5" s="2">
        <v>4476</v>
      </c>
      <c r="G5" s="2">
        <v>4396</v>
      </c>
      <c r="H5" s="2">
        <v>4394</v>
      </c>
      <c r="I5" s="2">
        <v>4327</v>
      </c>
      <c r="J5" s="2">
        <v>4278</v>
      </c>
      <c r="K5" s="2">
        <v>4255</v>
      </c>
      <c r="L5" s="2">
        <v>4226</v>
      </c>
      <c r="M5" s="2">
        <v>4167</v>
      </c>
      <c r="N5" s="2">
        <v>4120</v>
      </c>
      <c r="O5" s="2">
        <v>4080</v>
      </c>
      <c r="P5" s="2">
        <v>4041</v>
      </c>
      <c r="Q5" s="2">
        <v>4004</v>
      </c>
      <c r="R5" s="2">
        <v>3962</v>
      </c>
      <c r="S5" s="2">
        <v>3931</v>
      </c>
      <c r="T5" s="2">
        <v>3864</v>
      </c>
      <c r="U5" s="2">
        <v>3814</v>
      </c>
      <c r="V5" s="2">
        <v>3760</v>
      </c>
      <c r="W5" s="2">
        <v>3711</v>
      </c>
      <c r="X5" s="2">
        <v>3682</v>
      </c>
      <c r="Y5" s="2">
        <v>3636</v>
      </c>
      <c r="Z5" s="2">
        <v>3557</v>
      </c>
      <c r="AA5" s="2">
        <v>3497</v>
      </c>
      <c r="AB5" s="2">
        <v>3442</v>
      </c>
      <c r="AC5" s="2">
        <v>3407</v>
      </c>
      <c r="AD5" s="5">
        <v>3337</v>
      </c>
    </row>
    <row r="6" spans="1:30">
      <c r="A6" s="1" t="s">
        <v>34</v>
      </c>
      <c r="B6" s="2">
        <v>6110</v>
      </c>
      <c r="C6" s="2">
        <v>6043</v>
      </c>
      <c r="D6" s="2">
        <v>5963</v>
      </c>
      <c r="E6" s="2">
        <v>5891</v>
      </c>
      <c r="F6" s="2">
        <v>5854</v>
      </c>
      <c r="G6" s="2">
        <v>5788</v>
      </c>
      <c r="H6" s="2">
        <v>5772</v>
      </c>
      <c r="I6" s="2">
        <v>5742</v>
      </c>
      <c r="J6" s="2">
        <v>5692</v>
      </c>
      <c r="K6" s="2">
        <v>5614</v>
      </c>
      <c r="L6" s="2">
        <v>5590</v>
      </c>
      <c r="M6" s="2">
        <v>5540</v>
      </c>
      <c r="N6" s="2">
        <v>5476</v>
      </c>
      <c r="O6" s="2">
        <v>5422</v>
      </c>
      <c r="P6" s="2">
        <v>5370</v>
      </c>
      <c r="Q6" s="2">
        <v>5293</v>
      </c>
      <c r="R6" s="2">
        <v>5253</v>
      </c>
      <c r="S6" s="2">
        <v>5197</v>
      </c>
      <c r="T6" s="2">
        <v>5142</v>
      </c>
      <c r="U6" s="2">
        <v>5045</v>
      </c>
      <c r="V6" s="2">
        <v>4991</v>
      </c>
      <c r="W6" s="2">
        <v>4901</v>
      </c>
      <c r="X6" s="2">
        <v>4819</v>
      </c>
      <c r="Y6" s="2">
        <v>4742</v>
      </c>
      <c r="Z6" s="2">
        <v>4717</v>
      </c>
      <c r="AA6" s="2">
        <v>4681</v>
      </c>
      <c r="AB6" s="2">
        <v>4651</v>
      </c>
      <c r="AC6" s="2">
        <v>4586</v>
      </c>
      <c r="AD6" s="5">
        <v>4545</v>
      </c>
    </row>
    <row r="7" spans="1:30">
      <c r="A7" s="1" t="s">
        <v>35</v>
      </c>
      <c r="B7" s="2">
        <v>3968</v>
      </c>
      <c r="C7" s="2">
        <v>3894</v>
      </c>
      <c r="D7" s="2">
        <v>3806</v>
      </c>
      <c r="E7" s="2">
        <v>3730</v>
      </c>
      <c r="F7" s="2">
        <v>3675</v>
      </c>
      <c r="G7" s="2">
        <v>3598</v>
      </c>
      <c r="H7" s="2">
        <v>3529</v>
      </c>
      <c r="I7" s="2">
        <v>3465</v>
      </c>
      <c r="J7" s="2">
        <v>3403</v>
      </c>
      <c r="K7" s="2">
        <v>3369</v>
      </c>
      <c r="L7" s="2">
        <v>3311</v>
      </c>
      <c r="M7" s="2">
        <v>3240</v>
      </c>
      <c r="N7" s="2">
        <v>3165</v>
      </c>
      <c r="O7" s="2">
        <v>3108</v>
      </c>
      <c r="P7" s="2">
        <v>3033</v>
      </c>
      <c r="Q7" s="2">
        <v>2977</v>
      </c>
      <c r="R7" s="2">
        <v>2912</v>
      </c>
      <c r="S7" s="2">
        <v>2863</v>
      </c>
      <c r="T7" s="2">
        <v>2799</v>
      </c>
      <c r="U7" s="2">
        <v>2734</v>
      </c>
      <c r="V7" s="2">
        <v>2692</v>
      </c>
      <c r="W7" s="2">
        <v>2644</v>
      </c>
      <c r="X7" s="2">
        <v>2608</v>
      </c>
      <c r="Y7" s="2">
        <v>2537</v>
      </c>
      <c r="Z7" s="2">
        <v>2471</v>
      </c>
      <c r="AA7" s="2">
        <v>2418</v>
      </c>
      <c r="AB7" s="2">
        <v>2385</v>
      </c>
      <c r="AC7" s="2">
        <v>2349</v>
      </c>
      <c r="AD7" s="5">
        <v>2310</v>
      </c>
    </row>
    <row r="8" spans="1:30">
      <c r="A8" s="1" t="s">
        <v>36</v>
      </c>
      <c r="B8" s="2">
        <v>23715</v>
      </c>
      <c r="C8" s="2">
        <v>23508</v>
      </c>
      <c r="D8" s="2">
        <v>23206</v>
      </c>
      <c r="E8" s="2">
        <v>23049</v>
      </c>
      <c r="F8" s="2">
        <v>22950</v>
      </c>
      <c r="G8" s="2">
        <v>22748</v>
      </c>
      <c r="H8" s="2">
        <v>22915</v>
      </c>
      <c r="I8" s="2">
        <v>22827</v>
      </c>
      <c r="J8" s="2">
        <v>23007</v>
      </c>
      <c r="K8" s="2">
        <v>23156</v>
      </c>
      <c r="L8" s="2">
        <v>23488</v>
      </c>
      <c r="M8" s="2">
        <v>23681</v>
      </c>
      <c r="N8" s="2">
        <v>23840</v>
      </c>
      <c r="O8" s="2">
        <v>23918</v>
      </c>
      <c r="P8" s="2">
        <v>23945</v>
      </c>
      <c r="Q8" s="2">
        <v>23938</v>
      </c>
      <c r="R8" s="2">
        <v>23742</v>
      </c>
      <c r="S8" s="2">
        <v>23762</v>
      </c>
      <c r="T8" s="2">
        <v>23800</v>
      </c>
      <c r="U8" s="2">
        <v>23766</v>
      </c>
      <c r="V8" s="2">
        <v>23878</v>
      </c>
      <c r="W8" s="2">
        <v>23852</v>
      </c>
      <c r="X8" s="2">
        <v>23689</v>
      </c>
      <c r="Y8" s="2">
        <v>23269</v>
      </c>
      <c r="Z8" s="2">
        <v>23072</v>
      </c>
      <c r="AA8" s="2">
        <v>22843</v>
      </c>
      <c r="AB8" s="2">
        <v>22782</v>
      </c>
      <c r="AC8" s="2">
        <v>22844</v>
      </c>
      <c r="AD8" s="5">
        <v>22759</v>
      </c>
    </row>
    <row r="9" spans="1:30">
      <c r="A9" s="1" t="s">
        <v>37</v>
      </c>
      <c r="B9" s="2">
        <v>39564</v>
      </c>
      <c r="C9" s="2">
        <v>39432</v>
      </c>
      <c r="D9" s="2">
        <v>39239</v>
      </c>
      <c r="E9" s="2">
        <v>39102</v>
      </c>
      <c r="F9" s="2">
        <v>39099</v>
      </c>
      <c r="G9" s="2">
        <v>38979</v>
      </c>
      <c r="H9" s="2">
        <v>39198</v>
      </c>
      <c r="I9" s="2">
        <v>39134</v>
      </c>
      <c r="J9" s="2">
        <v>39002</v>
      </c>
      <c r="K9" s="2">
        <v>38871</v>
      </c>
      <c r="L9" s="2">
        <v>38904</v>
      </c>
      <c r="M9" s="2">
        <v>39031</v>
      </c>
      <c r="N9" s="2">
        <v>39123</v>
      </c>
      <c r="O9" s="2">
        <v>39226</v>
      </c>
      <c r="P9" s="2">
        <v>39078</v>
      </c>
      <c r="Q9" s="2">
        <v>39050</v>
      </c>
      <c r="R9" s="2">
        <v>38481</v>
      </c>
      <c r="S9" s="2">
        <v>38394</v>
      </c>
      <c r="T9" s="2">
        <v>38179</v>
      </c>
      <c r="U9" s="2">
        <v>38028</v>
      </c>
      <c r="V9" s="2">
        <v>38047</v>
      </c>
      <c r="W9" s="2">
        <v>38006</v>
      </c>
      <c r="X9" s="2">
        <v>37870</v>
      </c>
      <c r="Y9" s="2">
        <v>37484</v>
      </c>
      <c r="Z9" s="2">
        <v>37226</v>
      </c>
      <c r="AA9" s="2">
        <v>36847</v>
      </c>
      <c r="AB9" s="2">
        <v>36774</v>
      </c>
      <c r="AC9" s="2">
        <v>36750</v>
      </c>
      <c r="AD9" s="5">
        <v>36877</v>
      </c>
    </row>
    <row r="10" spans="1:30">
      <c r="A10" s="1" t="s">
        <v>38</v>
      </c>
      <c r="B10" s="2">
        <v>51002</v>
      </c>
      <c r="C10" s="2">
        <v>50745</v>
      </c>
      <c r="D10" s="2">
        <v>50323</v>
      </c>
      <c r="E10" s="2">
        <v>50014</v>
      </c>
      <c r="F10" s="2">
        <v>49770</v>
      </c>
      <c r="G10" s="2">
        <v>48952</v>
      </c>
      <c r="H10" s="2">
        <v>49263</v>
      </c>
      <c r="I10" s="2">
        <v>49331</v>
      </c>
      <c r="J10" s="2">
        <v>49202</v>
      </c>
      <c r="K10" s="2">
        <v>49103</v>
      </c>
      <c r="L10" s="2">
        <v>49274</v>
      </c>
      <c r="M10" s="2">
        <v>49965</v>
      </c>
      <c r="N10" s="2">
        <v>50268</v>
      </c>
      <c r="O10" s="2">
        <v>50406</v>
      </c>
      <c r="P10" s="2">
        <v>50510</v>
      </c>
      <c r="Q10" s="2">
        <v>50230</v>
      </c>
      <c r="R10" s="2">
        <v>49596</v>
      </c>
      <c r="S10" s="2">
        <v>49875</v>
      </c>
      <c r="T10" s="2">
        <v>50100</v>
      </c>
      <c r="U10" s="2">
        <v>50031</v>
      </c>
      <c r="V10" s="2">
        <v>50233</v>
      </c>
      <c r="W10" s="2">
        <v>50473</v>
      </c>
      <c r="X10" s="2">
        <v>50598</v>
      </c>
      <c r="Y10" s="2">
        <v>49893</v>
      </c>
      <c r="Z10" s="2">
        <v>50089</v>
      </c>
      <c r="AA10" s="2">
        <v>50189</v>
      </c>
      <c r="AB10" s="2">
        <v>50194</v>
      </c>
      <c r="AC10" s="2">
        <v>50366</v>
      </c>
      <c r="AD10" s="5">
        <v>50739</v>
      </c>
    </row>
    <row r="11" spans="1:30">
      <c r="A11" s="1" t="s">
        <v>39</v>
      </c>
      <c r="B11" s="2">
        <v>14549</v>
      </c>
      <c r="C11" s="2">
        <v>14348</v>
      </c>
      <c r="D11" s="2">
        <v>14240</v>
      </c>
      <c r="E11" s="2">
        <v>14191</v>
      </c>
      <c r="F11" s="2">
        <v>14278</v>
      </c>
      <c r="G11" s="2">
        <v>14190</v>
      </c>
      <c r="H11" s="2">
        <v>14352</v>
      </c>
      <c r="I11" s="2">
        <v>14519</v>
      </c>
      <c r="J11" s="2">
        <v>14638</v>
      </c>
      <c r="K11" s="2">
        <v>14622</v>
      </c>
      <c r="L11" s="2">
        <v>14635</v>
      </c>
      <c r="M11" s="2">
        <v>14836</v>
      </c>
      <c r="N11" s="2">
        <v>15140</v>
      </c>
      <c r="O11" s="2">
        <v>15161</v>
      </c>
      <c r="P11" s="2">
        <v>15224</v>
      </c>
      <c r="Q11" s="2">
        <v>15255</v>
      </c>
      <c r="R11" s="2">
        <v>15081</v>
      </c>
      <c r="S11" s="2">
        <v>15075</v>
      </c>
      <c r="T11" s="2">
        <v>15002</v>
      </c>
      <c r="U11" s="2">
        <v>15003</v>
      </c>
      <c r="V11" s="2">
        <v>15130</v>
      </c>
      <c r="W11" s="2">
        <v>15122</v>
      </c>
      <c r="X11" s="2">
        <v>15066</v>
      </c>
      <c r="Y11" s="2">
        <v>15074</v>
      </c>
      <c r="Z11" s="2">
        <v>15110</v>
      </c>
      <c r="AA11" s="2">
        <v>15143</v>
      </c>
      <c r="AB11" s="2">
        <v>15154</v>
      </c>
      <c r="AC11" s="2">
        <v>15258</v>
      </c>
      <c r="AD11" s="5">
        <v>15347</v>
      </c>
    </row>
    <row r="12" spans="1:30">
      <c r="A12" s="1" t="s">
        <v>40</v>
      </c>
      <c r="B12" s="2">
        <v>21795</v>
      </c>
      <c r="C12" s="2">
        <v>21776</v>
      </c>
      <c r="D12" s="2">
        <v>21920</v>
      </c>
      <c r="E12" s="2">
        <v>21928</v>
      </c>
      <c r="F12" s="2">
        <v>22027</v>
      </c>
      <c r="G12" s="2">
        <v>22076</v>
      </c>
      <c r="H12" s="2">
        <v>22307</v>
      </c>
      <c r="I12" s="2">
        <v>22619</v>
      </c>
      <c r="J12" s="2">
        <v>22628</v>
      </c>
      <c r="K12" s="2">
        <v>22597</v>
      </c>
      <c r="L12" s="2">
        <v>23047</v>
      </c>
      <c r="M12" s="2">
        <v>23382</v>
      </c>
      <c r="N12" s="2">
        <v>23627</v>
      </c>
      <c r="O12" s="2">
        <v>23856</v>
      </c>
      <c r="P12" s="2">
        <v>24125</v>
      </c>
      <c r="Q12" s="2">
        <v>24085</v>
      </c>
      <c r="R12" s="2">
        <v>23880</v>
      </c>
      <c r="S12" s="2">
        <v>23884</v>
      </c>
      <c r="T12" s="2">
        <v>23842</v>
      </c>
      <c r="U12" s="2">
        <v>23926</v>
      </c>
      <c r="V12" s="2">
        <v>23858</v>
      </c>
      <c r="W12" s="2">
        <v>23824</v>
      </c>
      <c r="X12" s="2">
        <v>23933</v>
      </c>
      <c r="Y12" s="2">
        <v>23872</v>
      </c>
      <c r="Z12" s="2">
        <v>23882</v>
      </c>
      <c r="AA12" s="2">
        <v>23760</v>
      </c>
      <c r="AB12" s="2">
        <v>23858</v>
      </c>
      <c r="AC12" s="2">
        <v>23966</v>
      </c>
      <c r="AD12" s="5">
        <v>23903</v>
      </c>
    </row>
    <row r="13" spans="1:30">
      <c r="A13" s="1" t="s">
        <v>41</v>
      </c>
      <c r="B13" s="2">
        <v>29120</v>
      </c>
      <c r="C13" s="2">
        <v>28821</v>
      </c>
      <c r="D13" s="2">
        <v>28587</v>
      </c>
      <c r="E13" s="2">
        <v>28247</v>
      </c>
      <c r="F13" s="2">
        <v>28166</v>
      </c>
      <c r="G13" s="2">
        <v>27970</v>
      </c>
      <c r="H13" s="2">
        <v>28011</v>
      </c>
      <c r="I13" s="2">
        <v>28075</v>
      </c>
      <c r="J13" s="2">
        <v>27972</v>
      </c>
      <c r="K13" s="2">
        <v>28272</v>
      </c>
      <c r="L13" s="2">
        <v>28301</v>
      </c>
      <c r="M13" s="2">
        <v>28477</v>
      </c>
      <c r="N13" s="2">
        <v>28664</v>
      </c>
      <c r="O13" s="2">
        <v>28763</v>
      </c>
      <c r="P13" s="2">
        <v>29023</v>
      </c>
      <c r="Q13" s="2">
        <v>28936</v>
      </c>
      <c r="R13" s="2">
        <v>28369</v>
      </c>
      <c r="S13" s="2">
        <v>28486</v>
      </c>
      <c r="T13" s="2">
        <v>28326</v>
      </c>
      <c r="U13" s="2">
        <v>28249</v>
      </c>
      <c r="V13" s="2">
        <v>28393</v>
      </c>
      <c r="W13" s="2">
        <v>28517</v>
      </c>
      <c r="X13" s="2">
        <v>28420</v>
      </c>
      <c r="Y13" s="2">
        <v>28167</v>
      </c>
      <c r="Z13" s="2">
        <v>28242</v>
      </c>
      <c r="AA13" s="2">
        <v>28197</v>
      </c>
      <c r="AB13" s="2">
        <v>28185</v>
      </c>
      <c r="AC13" s="2">
        <v>28181</v>
      </c>
      <c r="AD13" s="5">
        <v>28506</v>
      </c>
    </row>
    <row r="14" spans="1:30">
      <c r="A14" s="1" t="s">
        <v>42</v>
      </c>
      <c r="B14" s="2">
        <v>78678</v>
      </c>
      <c r="C14" s="2">
        <v>77775</v>
      </c>
      <c r="D14" s="2">
        <v>76714</v>
      </c>
      <c r="E14" s="2">
        <v>76007</v>
      </c>
      <c r="F14" s="2">
        <v>75224</v>
      </c>
      <c r="G14" s="2">
        <v>73462</v>
      </c>
      <c r="H14" s="2">
        <v>73248</v>
      </c>
      <c r="I14" s="2">
        <v>72560</v>
      </c>
      <c r="J14" s="2">
        <v>71391</v>
      </c>
      <c r="K14" s="2">
        <v>70594</v>
      </c>
      <c r="L14" s="2">
        <v>69656</v>
      </c>
      <c r="M14" s="2">
        <v>69091</v>
      </c>
      <c r="N14" s="2">
        <v>68583</v>
      </c>
      <c r="O14" s="2">
        <v>68151</v>
      </c>
      <c r="P14" s="2">
        <v>67394</v>
      </c>
      <c r="Q14" s="2">
        <v>66485</v>
      </c>
      <c r="R14" s="2">
        <v>64848</v>
      </c>
      <c r="S14" s="2">
        <v>64371</v>
      </c>
      <c r="T14" s="2">
        <v>63530</v>
      </c>
      <c r="U14" s="2">
        <v>62484</v>
      </c>
      <c r="V14" s="2">
        <v>61482</v>
      </c>
      <c r="W14" s="2">
        <v>60541</v>
      </c>
      <c r="X14" s="2">
        <v>59570</v>
      </c>
      <c r="Y14" s="2">
        <v>58487</v>
      </c>
      <c r="Z14" s="2">
        <v>57622</v>
      </c>
      <c r="AA14" s="2">
        <v>56764</v>
      </c>
      <c r="AB14" s="2">
        <v>56165</v>
      </c>
      <c r="AC14" s="2">
        <v>55424</v>
      </c>
      <c r="AD14" s="5">
        <v>54480</v>
      </c>
    </row>
    <row r="15" spans="1:30">
      <c r="A15" s="1" t="s">
        <v>43</v>
      </c>
      <c r="B15" s="2">
        <v>23516</v>
      </c>
      <c r="C15" s="2">
        <v>23276</v>
      </c>
      <c r="D15" s="2">
        <v>23076</v>
      </c>
      <c r="E15" s="2">
        <v>22830</v>
      </c>
      <c r="F15" s="2">
        <v>22654</v>
      </c>
      <c r="G15" s="2">
        <v>22381</v>
      </c>
      <c r="H15" s="2">
        <v>22369</v>
      </c>
      <c r="I15" s="2">
        <v>22186</v>
      </c>
      <c r="J15" s="2">
        <v>21940</v>
      </c>
      <c r="K15" s="2">
        <v>21719</v>
      </c>
      <c r="L15" s="2">
        <v>21688</v>
      </c>
      <c r="M15" s="2">
        <v>21635</v>
      </c>
      <c r="N15" s="2">
        <v>21556</v>
      </c>
      <c r="O15" s="2">
        <v>21403</v>
      </c>
      <c r="P15" s="2">
        <v>21290</v>
      </c>
      <c r="Q15" s="2">
        <v>21148</v>
      </c>
      <c r="R15" s="2">
        <v>20889</v>
      </c>
      <c r="S15" s="2">
        <v>20732</v>
      </c>
      <c r="T15" s="2">
        <v>20573</v>
      </c>
      <c r="U15" s="2">
        <v>20418</v>
      </c>
      <c r="V15" s="2">
        <v>20300</v>
      </c>
      <c r="W15" s="2">
        <v>20185</v>
      </c>
      <c r="X15" s="2">
        <v>20151</v>
      </c>
      <c r="Y15" s="2">
        <v>19900</v>
      </c>
      <c r="Z15" s="2">
        <v>19607</v>
      </c>
      <c r="AA15" s="2">
        <v>19431</v>
      </c>
      <c r="AB15" s="2">
        <v>19228</v>
      </c>
      <c r="AC15" s="2">
        <v>19012</v>
      </c>
      <c r="AD15" s="5">
        <v>18683</v>
      </c>
    </row>
    <row r="16" spans="1:30">
      <c r="A16" s="1" t="s">
        <v>44</v>
      </c>
      <c r="B16" s="2">
        <v>23715</v>
      </c>
      <c r="C16" s="2">
        <v>23508</v>
      </c>
      <c r="D16" s="2">
        <v>23206</v>
      </c>
      <c r="E16" s="2">
        <v>23049</v>
      </c>
      <c r="F16" s="2">
        <v>22950</v>
      </c>
      <c r="G16" s="2">
        <v>22748</v>
      </c>
      <c r="H16" s="2">
        <v>22915</v>
      </c>
      <c r="I16" s="2">
        <v>22827</v>
      </c>
      <c r="J16" s="2">
        <v>23007</v>
      </c>
      <c r="K16" s="2">
        <v>23156</v>
      </c>
      <c r="L16" s="2">
        <v>23488</v>
      </c>
      <c r="M16" s="2">
        <v>23681</v>
      </c>
      <c r="N16" s="2">
        <v>23840</v>
      </c>
      <c r="O16" s="2">
        <v>23918</v>
      </c>
      <c r="P16" s="2">
        <v>23945</v>
      </c>
      <c r="Q16" s="2">
        <v>23938</v>
      </c>
      <c r="R16" s="2">
        <v>23742</v>
      </c>
      <c r="S16" s="2">
        <v>23762</v>
      </c>
      <c r="T16" s="2">
        <v>23800</v>
      </c>
      <c r="U16" s="2">
        <v>23766</v>
      </c>
      <c r="V16" s="2">
        <v>23878</v>
      </c>
      <c r="W16" s="2">
        <v>23852</v>
      </c>
      <c r="X16" s="2">
        <v>23689</v>
      </c>
      <c r="Y16" s="2">
        <v>23269</v>
      </c>
      <c r="Z16" s="2">
        <v>23072</v>
      </c>
      <c r="AA16" s="2">
        <v>22843</v>
      </c>
      <c r="AB16" s="2">
        <v>22782</v>
      </c>
      <c r="AC16" s="2">
        <v>22844</v>
      </c>
      <c r="AD16" s="5">
        <v>22759</v>
      </c>
    </row>
    <row r="17" spans="1:30">
      <c r="A17" s="1" t="s">
        <v>45</v>
      </c>
      <c r="B17" s="2">
        <v>90566</v>
      </c>
      <c r="C17" s="2">
        <v>90177</v>
      </c>
      <c r="D17" s="2">
        <v>89562</v>
      </c>
      <c r="E17" s="2">
        <v>89116</v>
      </c>
      <c r="F17" s="2">
        <v>88869</v>
      </c>
      <c r="G17" s="2">
        <v>87931</v>
      </c>
      <c r="H17" s="2">
        <v>88461</v>
      </c>
      <c r="I17" s="2">
        <v>88465</v>
      </c>
      <c r="J17" s="2">
        <v>88204</v>
      </c>
      <c r="K17" s="2">
        <v>87974</v>
      </c>
      <c r="L17" s="2">
        <v>88178</v>
      </c>
      <c r="M17" s="2">
        <v>88996</v>
      </c>
      <c r="N17" s="2">
        <v>89391</v>
      </c>
      <c r="O17" s="2">
        <v>89632</v>
      </c>
      <c r="P17" s="2">
        <v>89588</v>
      </c>
      <c r="Q17" s="2">
        <v>89280</v>
      </c>
      <c r="R17" s="2">
        <v>88077</v>
      </c>
      <c r="S17" s="2">
        <v>88269</v>
      </c>
      <c r="T17" s="2">
        <v>88279</v>
      </c>
      <c r="U17" s="2">
        <v>88059</v>
      </c>
      <c r="V17" s="2">
        <v>88280</v>
      </c>
      <c r="W17" s="2">
        <v>88479</v>
      </c>
      <c r="X17" s="2">
        <v>88468</v>
      </c>
      <c r="Y17" s="2">
        <v>87377</v>
      </c>
      <c r="Z17" s="2">
        <v>87315</v>
      </c>
      <c r="AA17" s="2">
        <v>87036</v>
      </c>
      <c r="AB17" s="2">
        <v>86968</v>
      </c>
      <c r="AC17" s="2">
        <v>87116</v>
      </c>
      <c r="AD17" s="5">
        <v>87616</v>
      </c>
    </row>
    <row r="18" spans="1:30">
      <c r="A18" s="1" t="s">
        <v>46</v>
      </c>
      <c r="B18" s="2">
        <v>36344</v>
      </c>
      <c r="C18" s="2">
        <v>36124</v>
      </c>
      <c r="D18" s="2">
        <v>36160</v>
      </c>
      <c r="E18" s="2">
        <v>36119</v>
      </c>
      <c r="F18" s="2">
        <v>36305</v>
      </c>
      <c r="G18" s="2">
        <v>36266</v>
      </c>
      <c r="H18" s="2">
        <v>36659</v>
      </c>
      <c r="I18" s="2">
        <v>37138</v>
      </c>
      <c r="J18" s="2">
        <v>37266</v>
      </c>
      <c r="K18" s="2">
        <v>37219</v>
      </c>
      <c r="L18" s="2">
        <v>37682</v>
      </c>
      <c r="M18" s="2">
        <v>38218</v>
      </c>
      <c r="N18" s="2">
        <v>38767</v>
      </c>
      <c r="O18" s="2">
        <v>39017</v>
      </c>
      <c r="P18" s="2">
        <v>39349</v>
      </c>
      <c r="Q18" s="2">
        <v>39340</v>
      </c>
      <c r="R18" s="2">
        <v>38961</v>
      </c>
      <c r="S18" s="2">
        <v>38959</v>
      </c>
      <c r="T18" s="2">
        <v>38844</v>
      </c>
      <c r="U18" s="2">
        <v>38929</v>
      </c>
      <c r="V18" s="2">
        <v>38988</v>
      </c>
      <c r="W18" s="2">
        <v>38946</v>
      </c>
      <c r="X18" s="2">
        <v>38999</v>
      </c>
      <c r="Y18" s="2">
        <v>38946</v>
      </c>
      <c r="Z18" s="2">
        <v>38992</v>
      </c>
      <c r="AA18" s="2">
        <v>38903</v>
      </c>
      <c r="AB18" s="2">
        <v>39012</v>
      </c>
      <c r="AC18" s="2">
        <v>39224</v>
      </c>
      <c r="AD18" s="5">
        <v>39250</v>
      </c>
    </row>
    <row r="19" spans="1:30">
      <c r="A19" s="1" t="s">
        <v>47</v>
      </c>
      <c r="B19" s="2">
        <v>29120</v>
      </c>
      <c r="C19" s="2">
        <v>28821</v>
      </c>
      <c r="D19" s="2">
        <v>28587</v>
      </c>
      <c r="E19" s="2">
        <v>28247</v>
      </c>
      <c r="F19" s="2">
        <v>28166</v>
      </c>
      <c r="G19" s="2">
        <v>27970</v>
      </c>
      <c r="H19" s="2">
        <v>28011</v>
      </c>
      <c r="I19" s="2">
        <v>28075</v>
      </c>
      <c r="J19" s="2">
        <v>27972</v>
      </c>
      <c r="K19" s="2">
        <v>28272</v>
      </c>
      <c r="L19" s="2">
        <v>28301</v>
      </c>
      <c r="M19" s="2">
        <v>28477</v>
      </c>
      <c r="N19" s="2">
        <v>28664</v>
      </c>
      <c r="O19" s="2">
        <v>28763</v>
      </c>
      <c r="P19" s="2">
        <v>29023</v>
      </c>
      <c r="Q19" s="2">
        <v>28936</v>
      </c>
      <c r="R19" s="2">
        <v>28369</v>
      </c>
      <c r="S19" s="2">
        <v>28486</v>
      </c>
      <c r="T19" s="2">
        <v>28326</v>
      </c>
      <c r="U19" s="2">
        <v>28249</v>
      </c>
      <c r="V19" s="2">
        <v>28393</v>
      </c>
      <c r="W19" s="2">
        <v>28517</v>
      </c>
      <c r="X19" s="2">
        <v>28420</v>
      </c>
      <c r="Y19" s="2">
        <v>28167</v>
      </c>
      <c r="Z19" s="2">
        <v>28242</v>
      </c>
      <c r="AA19" s="2">
        <v>28197</v>
      </c>
      <c r="AB19" s="2">
        <v>28185</v>
      </c>
      <c r="AC19" s="2">
        <v>28181</v>
      </c>
      <c r="AD19" s="5">
        <v>28506</v>
      </c>
    </row>
    <row r="20" spans="1:30">
      <c r="A20" s="1" t="s">
        <v>48</v>
      </c>
      <c r="B20" s="2">
        <v>68600</v>
      </c>
      <c r="C20" s="2">
        <v>67838</v>
      </c>
      <c r="D20" s="2">
        <v>66945</v>
      </c>
      <c r="E20" s="2">
        <v>66386</v>
      </c>
      <c r="F20" s="2">
        <v>65695</v>
      </c>
      <c r="G20" s="2">
        <v>64076</v>
      </c>
      <c r="H20" s="2">
        <v>63947</v>
      </c>
      <c r="I20" s="2">
        <v>63353</v>
      </c>
      <c r="J20" s="2">
        <v>62296</v>
      </c>
      <c r="K20" s="2">
        <v>61611</v>
      </c>
      <c r="L20" s="2">
        <v>60755</v>
      </c>
      <c r="M20" s="2">
        <v>60311</v>
      </c>
      <c r="N20" s="2">
        <v>59942</v>
      </c>
      <c r="O20" s="2">
        <v>59621</v>
      </c>
      <c r="P20" s="2">
        <v>58991</v>
      </c>
      <c r="Q20" s="2">
        <v>58215</v>
      </c>
      <c r="R20" s="2">
        <v>56683</v>
      </c>
      <c r="S20" s="2">
        <v>56311</v>
      </c>
      <c r="T20" s="2">
        <v>55589</v>
      </c>
      <c r="U20" s="2">
        <v>54705</v>
      </c>
      <c r="V20" s="2">
        <v>53799</v>
      </c>
      <c r="W20" s="2">
        <v>52996</v>
      </c>
      <c r="X20" s="2">
        <v>52143</v>
      </c>
      <c r="Y20" s="2">
        <v>51208</v>
      </c>
      <c r="Z20" s="2">
        <v>50434</v>
      </c>
      <c r="AA20" s="2">
        <v>49665</v>
      </c>
      <c r="AB20" s="2">
        <v>49129</v>
      </c>
      <c r="AC20" s="2">
        <v>48489</v>
      </c>
      <c r="AD20" s="5">
        <v>47625</v>
      </c>
    </row>
    <row r="21" spans="1:30">
      <c r="A21" s="1" t="s">
        <v>49</v>
      </c>
      <c r="B21" s="2">
        <v>45382</v>
      </c>
      <c r="C21" s="2">
        <v>45063</v>
      </c>
      <c r="D21" s="2">
        <v>32845</v>
      </c>
      <c r="E21" s="2">
        <v>32451</v>
      </c>
      <c r="F21" s="2">
        <v>32183</v>
      </c>
      <c r="G21" s="2">
        <v>31767</v>
      </c>
      <c r="H21" s="2">
        <v>31670</v>
      </c>
      <c r="I21" s="2">
        <v>31393</v>
      </c>
      <c r="J21" s="2">
        <v>31035</v>
      </c>
      <c r="K21" s="2">
        <v>30702</v>
      </c>
      <c r="L21" s="2">
        <v>30589</v>
      </c>
      <c r="M21" s="2">
        <v>30415</v>
      </c>
      <c r="N21" s="2">
        <v>30197</v>
      </c>
      <c r="O21" s="2">
        <v>29933</v>
      </c>
      <c r="P21" s="2">
        <v>29693</v>
      </c>
      <c r="Q21" s="2">
        <v>29418</v>
      </c>
      <c r="R21" s="2">
        <v>29054</v>
      </c>
      <c r="S21" s="2">
        <v>28792</v>
      </c>
      <c r="T21" s="2">
        <v>28514</v>
      </c>
      <c r="U21" s="2">
        <v>28197</v>
      </c>
      <c r="V21" s="2">
        <v>27983</v>
      </c>
      <c r="W21" s="2">
        <v>27730</v>
      </c>
      <c r="X21" s="2">
        <v>27578</v>
      </c>
      <c r="Y21" s="2">
        <v>27179</v>
      </c>
      <c r="Z21" s="2">
        <v>26795</v>
      </c>
      <c r="AA21" s="2">
        <v>26530</v>
      </c>
      <c r="AB21" s="2">
        <v>26264</v>
      </c>
      <c r="AC21" s="2">
        <v>25947</v>
      </c>
      <c r="AD21" s="5">
        <v>25538</v>
      </c>
    </row>
    <row r="22" spans="1:30">
      <c r="A22" s="1" t="s">
        <v>50</v>
      </c>
      <c r="B22" s="2">
        <v>179745</v>
      </c>
      <c r="C22" s="2">
        <v>178630</v>
      </c>
      <c r="D22" s="2">
        <v>177515</v>
      </c>
      <c r="E22" s="2">
        <v>176531</v>
      </c>
      <c r="F22" s="2">
        <v>176290</v>
      </c>
      <c r="G22" s="2">
        <v>174915</v>
      </c>
      <c r="H22" s="2">
        <v>176046</v>
      </c>
      <c r="I22" s="2">
        <v>176505</v>
      </c>
      <c r="J22" s="2">
        <v>176449</v>
      </c>
      <c r="K22" s="2">
        <v>176621</v>
      </c>
      <c r="L22" s="2">
        <v>177649</v>
      </c>
      <c r="M22" s="2">
        <v>179372</v>
      </c>
      <c r="N22" s="2">
        <v>180662</v>
      </c>
      <c r="O22" s="2">
        <v>181330</v>
      </c>
      <c r="P22" s="2">
        <v>181905</v>
      </c>
      <c r="Q22" s="2">
        <v>181494</v>
      </c>
      <c r="R22" s="2">
        <v>179149</v>
      </c>
      <c r="S22" s="2">
        <v>179476</v>
      </c>
      <c r="T22" s="2">
        <v>179249</v>
      </c>
      <c r="U22" s="2">
        <v>179003</v>
      </c>
      <c r="V22" s="2">
        <v>179539</v>
      </c>
      <c r="W22" s="2">
        <v>179794</v>
      </c>
      <c r="X22" s="2">
        <v>179576</v>
      </c>
      <c r="Y22" s="2">
        <v>177759</v>
      </c>
      <c r="Z22" s="2">
        <v>177621</v>
      </c>
      <c r="AA22" s="2">
        <v>176979</v>
      </c>
      <c r="AB22" s="2">
        <v>176947</v>
      </c>
      <c r="AC22" s="2">
        <v>177365</v>
      </c>
      <c r="AD22" s="5">
        <v>178131</v>
      </c>
    </row>
    <row r="23" spans="1:30" ht="15" customHeight="1">
      <c r="A23" s="1" t="s">
        <v>51</v>
      </c>
      <c r="B23" s="2">
        <v>293731</v>
      </c>
      <c r="C23" s="2">
        <v>291531</v>
      </c>
      <c r="D23" s="2">
        <v>277305</v>
      </c>
      <c r="E23" s="2">
        <v>275368</v>
      </c>
      <c r="F23" s="2">
        <v>274168</v>
      </c>
      <c r="G23" s="2">
        <v>270758</v>
      </c>
      <c r="H23" s="2">
        <v>271663</v>
      </c>
      <c r="I23" s="2">
        <v>271251</v>
      </c>
      <c r="J23" s="2">
        <v>269780</v>
      </c>
      <c r="K23" s="2">
        <v>268934</v>
      </c>
      <c r="L23" s="2">
        <v>268993</v>
      </c>
      <c r="M23" s="2">
        <v>270098</v>
      </c>
      <c r="N23" s="2">
        <v>270801</v>
      </c>
      <c r="O23" s="2">
        <v>270884</v>
      </c>
      <c r="P23" s="2">
        <v>270589</v>
      </c>
      <c r="Q23" s="2">
        <v>269127</v>
      </c>
      <c r="R23" s="2">
        <v>264886</v>
      </c>
      <c r="S23" s="2">
        <v>264579</v>
      </c>
      <c r="T23" s="2">
        <v>263352</v>
      </c>
      <c r="U23" s="2">
        <v>261905</v>
      </c>
      <c r="V23" s="2">
        <v>261321</v>
      </c>
      <c r="W23" s="2">
        <v>260520</v>
      </c>
      <c r="X23" s="2">
        <v>259297</v>
      </c>
      <c r="Y23" s="2">
        <v>256146</v>
      </c>
      <c r="Z23" s="2">
        <v>254850</v>
      </c>
      <c r="AA23" s="2">
        <v>253174</v>
      </c>
      <c r="AB23" s="2">
        <v>252340</v>
      </c>
      <c r="AC23" s="2">
        <v>251801</v>
      </c>
      <c r="AD23" s="5">
        <v>251294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DDB4-83D7-4425-8F0E-61859607BEB5}">
  <dimension ref="A1:AML24"/>
  <sheetViews>
    <sheetView topLeftCell="AL1" workbookViewId="0">
      <selection activeCell="A15" sqref="A15:XFD15"/>
    </sheetView>
  </sheetViews>
  <sheetFormatPr defaultRowHeight="15"/>
  <cols>
    <col min="1" max="1" width="15.5703125" customWidth="1"/>
  </cols>
  <sheetData>
    <row r="1" spans="1:1026">
      <c r="A1" s="1"/>
      <c r="B1" t="s">
        <v>52</v>
      </c>
      <c r="C1" t="s">
        <v>52</v>
      </c>
      <c r="D1" t="s">
        <v>52</v>
      </c>
      <c r="E1" t="s">
        <v>53</v>
      </c>
      <c r="F1" t="s">
        <v>53</v>
      </c>
      <c r="G1" t="s">
        <v>53</v>
      </c>
      <c r="H1" t="s">
        <v>54</v>
      </c>
      <c r="I1" t="s">
        <v>54</v>
      </c>
      <c r="J1" t="s">
        <v>54</v>
      </c>
      <c r="K1" t="s">
        <v>55</v>
      </c>
      <c r="L1" t="s">
        <v>55</v>
      </c>
      <c r="M1" t="s">
        <v>55</v>
      </c>
      <c r="N1" t="s">
        <v>56</v>
      </c>
      <c r="O1" t="s">
        <v>56</v>
      </c>
      <c r="P1" t="s">
        <v>56</v>
      </c>
      <c r="Q1" t="s">
        <v>57</v>
      </c>
      <c r="R1" t="s">
        <v>57</v>
      </c>
      <c r="S1" t="s">
        <v>57</v>
      </c>
      <c r="T1" t="s">
        <v>58</v>
      </c>
      <c r="U1" t="s">
        <v>58</v>
      </c>
      <c r="V1" t="s">
        <v>58</v>
      </c>
      <c r="W1" t="s">
        <v>59</v>
      </c>
      <c r="X1" t="s">
        <v>59</v>
      </c>
      <c r="Y1" t="s">
        <v>59</v>
      </c>
      <c r="Z1" t="s">
        <v>60</v>
      </c>
      <c r="AA1" t="s">
        <v>60</v>
      </c>
      <c r="AB1" t="s">
        <v>60</v>
      </c>
      <c r="AC1" t="s">
        <v>61</v>
      </c>
      <c r="AD1" t="s">
        <v>61</v>
      </c>
      <c r="AE1" t="s">
        <v>61</v>
      </c>
      <c r="AF1" t="s">
        <v>62</v>
      </c>
      <c r="AG1" t="s">
        <v>62</v>
      </c>
      <c r="AH1" t="s">
        <v>62</v>
      </c>
      <c r="AI1" t="s">
        <v>63</v>
      </c>
      <c r="AJ1" t="s">
        <v>63</v>
      </c>
      <c r="AK1" t="s">
        <v>63</v>
      </c>
      <c r="AL1" t="s">
        <v>64</v>
      </c>
      <c r="AM1" t="s">
        <v>64</v>
      </c>
      <c r="AN1" t="s">
        <v>64</v>
      </c>
      <c r="AO1" t="s">
        <v>65</v>
      </c>
      <c r="AP1" t="s">
        <v>65</v>
      </c>
      <c r="AQ1" t="s">
        <v>65</v>
      </c>
      <c r="AR1" t="s">
        <v>66</v>
      </c>
      <c r="AS1" t="s">
        <v>66</v>
      </c>
      <c r="AT1" t="s">
        <v>66</v>
      </c>
      <c r="AU1" t="s">
        <v>67</v>
      </c>
      <c r="AV1" t="s">
        <v>67</v>
      </c>
      <c r="AW1" t="s">
        <v>67</v>
      </c>
      <c r="AX1" t="s">
        <v>68</v>
      </c>
      <c r="AY1" t="s">
        <v>68</v>
      </c>
      <c r="AZ1" t="s">
        <v>68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4"/>
    </row>
    <row r="2" spans="1:1026">
      <c r="A2" s="1" t="s">
        <v>0</v>
      </c>
      <c r="B2" s="1" t="s">
        <v>69</v>
      </c>
      <c r="C2" s="1" t="s">
        <v>70</v>
      </c>
      <c r="D2" s="1" t="s">
        <v>71</v>
      </c>
      <c r="E2" s="1" t="s">
        <v>69</v>
      </c>
      <c r="F2" s="1" t="s">
        <v>70</v>
      </c>
      <c r="G2" s="1" t="s">
        <v>71</v>
      </c>
      <c r="H2" s="1" t="s">
        <v>69</v>
      </c>
      <c r="I2" s="1" t="s">
        <v>70</v>
      </c>
      <c r="J2" s="1" t="s">
        <v>71</v>
      </c>
      <c r="K2" s="1" t="s">
        <v>69</v>
      </c>
      <c r="L2" s="1" t="s">
        <v>70</v>
      </c>
      <c r="M2" s="1" t="s">
        <v>71</v>
      </c>
      <c r="N2" s="1" t="s">
        <v>69</v>
      </c>
      <c r="O2" s="1" t="s">
        <v>70</v>
      </c>
      <c r="P2" s="1" t="s">
        <v>71</v>
      </c>
      <c r="Q2" s="1" t="s">
        <v>69</v>
      </c>
      <c r="R2" s="1" t="s">
        <v>70</v>
      </c>
      <c r="S2" s="1" t="s">
        <v>71</v>
      </c>
      <c r="T2" s="1" t="s">
        <v>69</v>
      </c>
      <c r="U2" s="1" t="s">
        <v>70</v>
      </c>
      <c r="V2" s="1" t="s">
        <v>71</v>
      </c>
      <c r="W2" s="1" t="s">
        <v>69</v>
      </c>
      <c r="X2" s="1" t="s">
        <v>70</v>
      </c>
      <c r="Y2" s="1" t="s">
        <v>71</v>
      </c>
      <c r="Z2" s="1" t="s">
        <v>69</v>
      </c>
      <c r="AA2" s="1" t="s">
        <v>70</v>
      </c>
      <c r="AB2" s="1" t="s">
        <v>71</v>
      </c>
      <c r="AC2" s="1" t="s">
        <v>69</v>
      </c>
      <c r="AD2" s="1" t="s">
        <v>70</v>
      </c>
      <c r="AE2" s="1" t="s">
        <v>71</v>
      </c>
      <c r="AF2" s="1" t="s">
        <v>69</v>
      </c>
      <c r="AG2" s="1" t="s">
        <v>70</v>
      </c>
      <c r="AH2" s="1" t="s">
        <v>71</v>
      </c>
      <c r="AI2" s="1" t="s">
        <v>69</v>
      </c>
      <c r="AJ2" s="1" t="s">
        <v>70</v>
      </c>
      <c r="AK2" s="1" t="s">
        <v>71</v>
      </c>
      <c r="AL2" s="1" t="s">
        <v>69</v>
      </c>
      <c r="AM2" s="1" t="s">
        <v>70</v>
      </c>
      <c r="AN2" s="1" t="s">
        <v>71</v>
      </c>
      <c r="AO2" s="1" t="s">
        <v>69</v>
      </c>
      <c r="AP2" s="1" t="s">
        <v>70</v>
      </c>
      <c r="AQ2" s="1" t="s">
        <v>71</v>
      </c>
      <c r="AR2" s="1" t="s">
        <v>69</v>
      </c>
      <c r="AS2" s="1" t="s">
        <v>70</v>
      </c>
      <c r="AT2" s="1" t="s">
        <v>71</v>
      </c>
      <c r="AU2" s="1" t="s">
        <v>69</v>
      </c>
      <c r="AV2" s="1" t="s">
        <v>70</v>
      </c>
      <c r="AW2" s="1" t="s">
        <v>71</v>
      </c>
      <c r="AX2" s="1" t="s">
        <v>69</v>
      </c>
      <c r="AY2" s="1" t="s">
        <v>70</v>
      </c>
      <c r="AZ2" s="6" t="s">
        <v>71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4"/>
    </row>
    <row r="3" spans="1:1026">
      <c r="A3" s="1" t="s">
        <v>30</v>
      </c>
      <c r="B3" s="1">
        <v>35832</v>
      </c>
      <c r="C3" s="1">
        <v>25087</v>
      </c>
      <c r="D3" s="1">
        <v>70</v>
      </c>
      <c r="E3" s="1">
        <v>35406</v>
      </c>
      <c r="F3" s="1">
        <v>24662</v>
      </c>
      <c r="G3" s="1">
        <v>69.7</v>
      </c>
      <c r="H3" s="1">
        <v>34910</v>
      </c>
      <c r="I3" s="1">
        <v>24180</v>
      </c>
      <c r="J3" s="1">
        <v>69.3</v>
      </c>
      <c r="K3" s="2">
        <v>34026</v>
      </c>
      <c r="L3" s="2">
        <v>23655</v>
      </c>
      <c r="M3" s="1">
        <v>69.5</v>
      </c>
      <c r="N3" s="2">
        <v>33839</v>
      </c>
      <c r="O3" s="2">
        <v>23384</v>
      </c>
      <c r="P3" s="1">
        <v>69.099999999999994</v>
      </c>
      <c r="Q3" s="2">
        <v>33306</v>
      </c>
      <c r="R3" s="2">
        <v>22956</v>
      </c>
      <c r="S3" s="1">
        <v>68.900000000000006</v>
      </c>
      <c r="T3" s="2">
        <v>32785</v>
      </c>
      <c r="U3" s="2">
        <v>22529</v>
      </c>
      <c r="V3" s="1">
        <v>68.7</v>
      </c>
      <c r="W3" s="2">
        <v>32181</v>
      </c>
      <c r="X3" s="2">
        <v>22009</v>
      </c>
      <c r="Y3" s="1">
        <v>68.400000000000006</v>
      </c>
      <c r="Z3" s="2">
        <v>31655</v>
      </c>
      <c r="AA3" s="2">
        <v>21557</v>
      </c>
      <c r="AB3" s="1">
        <v>68.099999999999994</v>
      </c>
      <c r="AC3" s="2">
        <v>31128</v>
      </c>
      <c r="AD3" s="2">
        <v>21051</v>
      </c>
      <c r="AE3" s="1">
        <v>67.599999999999994</v>
      </c>
      <c r="AF3" s="2">
        <v>30616</v>
      </c>
      <c r="AG3" s="2">
        <v>20638</v>
      </c>
      <c r="AH3" s="1">
        <v>67.400000000000006</v>
      </c>
      <c r="AI3" s="2">
        <v>30616</v>
      </c>
      <c r="AJ3" s="2">
        <v>20638</v>
      </c>
      <c r="AK3" s="1">
        <v>67.400000000000006</v>
      </c>
      <c r="AL3" s="2">
        <v>30213</v>
      </c>
      <c r="AM3" s="2">
        <v>20187</v>
      </c>
      <c r="AN3" s="1">
        <v>66.8</v>
      </c>
      <c r="AO3" s="2">
        <v>29744</v>
      </c>
      <c r="AP3" s="2">
        <v>19686</v>
      </c>
      <c r="AQ3" s="1">
        <v>66.2</v>
      </c>
      <c r="AR3" s="2">
        <v>29357</v>
      </c>
      <c r="AS3" s="2">
        <v>19204</v>
      </c>
      <c r="AT3" s="1">
        <v>65.400000000000006</v>
      </c>
      <c r="AU3" s="2">
        <v>29015</v>
      </c>
      <c r="AV3" s="2">
        <v>18786</v>
      </c>
      <c r="AW3" s="1">
        <v>64.7</v>
      </c>
      <c r="AX3" s="2">
        <v>28512</v>
      </c>
      <c r="AY3" s="2">
        <v>18370</v>
      </c>
      <c r="AZ3" s="6">
        <v>64.400000000000006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4"/>
    </row>
    <row r="4" spans="1:1026">
      <c r="A4" s="1" t="s">
        <v>31</v>
      </c>
      <c r="B4" s="1">
        <v>23789</v>
      </c>
      <c r="C4" s="1">
        <v>16245</v>
      </c>
      <c r="D4" s="1">
        <v>68.3</v>
      </c>
      <c r="E4" s="1">
        <v>23585</v>
      </c>
      <c r="F4" s="1">
        <v>15978</v>
      </c>
      <c r="G4" s="1">
        <v>67.7</v>
      </c>
      <c r="H4" s="1">
        <v>23305</v>
      </c>
      <c r="I4" s="1">
        <v>15700</v>
      </c>
      <c r="J4" s="1">
        <v>67.400000000000006</v>
      </c>
      <c r="K4" s="2">
        <v>22657</v>
      </c>
      <c r="L4" s="2">
        <v>15380</v>
      </c>
      <c r="M4" s="1">
        <v>67.900000000000006</v>
      </c>
      <c r="N4" s="2">
        <v>22472</v>
      </c>
      <c r="O4" s="2">
        <v>15142</v>
      </c>
      <c r="P4" s="1">
        <v>67.400000000000006</v>
      </c>
      <c r="Q4" s="2">
        <v>22283</v>
      </c>
      <c r="R4" s="2">
        <v>14925</v>
      </c>
      <c r="S4" s="1">
        <v>67</v>
      </c>
      <c r="T4" s="2">
        <v>21920</v>
      </c>
      <c r="U4" s="2">
        <v>14583</v>
      </c>
      <c r="V4" s="1">
        <v>66.5</v>
      </c>
      <c r="W4" s="2">
        <v>21618</v>
      </c>
      <c r="X4" s="2">
        <v>14281</v>
      </c>
      <c r="Y4" s="1">
        <v>66.099999999999994</v>
      </c>
      <c r="Z4" s="2">
        <v>21341</v>
      </c>
      <c r="AA4" s="2">
        <v>14038</v>
      </c>
      <c r="AB4" s="1">
        <v>65.8</v>
      </c>
      <c r="AC4" s="2">
        <v>21015</v>
      </c>
      <c r="AD4" s="2">
        <v>13720</v>
      </c>
      <c r="AE4" s="1">
        <v>65.3</v>
      </c>
      <c r="AF4" s="2">
        <v>20592</v>
      </c>
      <c r="AG4" s="2">
        <v>13387</v>
      </c>
      <c r="AH4" s="1">
        <v>65</v>
      </c>
      <c r="AI4" s="2">
        <v>20592</v>
      </c>
      <c r="AJ4" s="2">
        <v>13387</v>
      </c>
      <c r="AK4" s="1">
        <v>65</v>
      </c>
      <c r="AL4" s="2">
        <v>20221</v>
      </c>
      <c r="AM4" s="2">
        <v>13050</v>
      </c>
      <c r="AN4" s="1">
        <v>64.5</v>
      </c>
      <c r="AO4" s="2">
        <v>19921</v>
      </c>
      <c r="AP4" s="2">
        <v>12750</v>
      </c>
      <c r="AQ4" s="1">
        <v>64</v>
      </c>
      <c r="AR4" s="2">
        <v>19772</v>
      </c>
      <c r="AS4" s="2">
        <v>12558</v>
      </c>
      <c r="AT4" s="1">
        <v>63.5</v>
      </c>
      <c r="AU4" s="2">
        <v>19474</v>
      </c>
      <c r="AV4" s="2">
        <v>12269</v>
      </c>
      <c r="AW4" s="1">
        <v>63</v>
      </c>
      <c r="AX4" s="2">
        <v>19113</v>
      </c>
      <c r="AY4" s="2">
        <v>11972</v>
      </c>
      <c r="AZ4" s="6">
        <v>62.6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4"/>
    </row>
    <row r="5" spans="1:1026">
      <c r="A5" s="1" t="s">
        <v>32</v>
      </c>
      <c r="B5" s="1">
        <v>17323</v>
      </c>
      <c r="C5" s="1">
        <v>12805</v>
      </c>
      <c r="D5" s="1">
        <v>73.900000000000006</v>
      </c>
      <c r="E5" s="1">
        <v>17249</v>
      </c>
      <c r="F5" s="1">
        <v>12699</v>
      </c>
      <c r="G5" s="1">
        <v>73.599999999999994</v>
      </c>
      <c r="H5" s="1">
        <v>17144</v>
      </c>
      <c r="I5" s="1">
        <v>12623</v>
      </c>
      <c r="J5" s="1">
        <v>73.599999999999994</v>
      </c>
      <c r="K5" s="2">
        <v>16927</v>
      </c>
      <c r="L5" s="2">
        <v>12522</v>
      </c>
      <c r="M5" s="1">
        <v>74</v>
      </c>
      <c r="N5" s="2">
        <v>16801</v>
      </c>
      <c r="O5" s="2">
        <v>12434</v>
      </c>
      <c r="P5" s="1">
        <v>74</v>
      </c>
      <c r="Q5" s="2">
        <v>16709</v>
      </c>
      <c r="R5" s="2">
        <v>12383</v>
      </c>
      <c r="S5" s="1">
        <v>74.099999999999994</v>
      </c>
      <c r="T5" s="2">
        <v>16604</v>
      </c>
      <c r="U5" s="2">
        <v>12278</v>
      </c>
      <c r="V5" s="1">
        <v>73.900000000000006</v>
      </c>
      <c r="W5" s="2">
        <v>16540</v>
      </c>
      <c r="X5" s="2">
        <v>12215</v>
      </c>
      <c r="Y5" s="1">
        <v>73.900000000000006</v>
      </c>
      <c r="Z5" s="2">
        <v>16474</v>
      </c>
      <c r="AA5" s="2">
        <v>12148</v>
      </c>
      <c r="AB5" s="1">
        <v>73.7</v>
      </c>
      <c r="AC5" s="2">
        <v>16469</v>
      </c>
      <c r="AD5" s="2">
        <v>12140</v>
      </c>
      <c r="AE5" s="1">
        <v>73.7</v>
      </c>
      <c r="AF5" s="2">
        <v>16264</v>
      </c>
      <c r="AG5" s="2">
        <v>11980</v>
      </c>
      <c r="AH5" s="1">
        <v>73.7</v>
      </c>
      <c r="AI5" s="2">
        <v>16264</v>
      </c>
      <c r="AJ5" s="2">
        <v>11980</v>
      </c>
      <c r="AK5" s="1">
        <v>73.7</v>
      </c>
      <c r="AL5" s="2">
        <v>16050</v>
      </c>
      <c r="AM5" s="2">
        <v>11819</v>
      </c>
      <c r="AN5" s="1">
        <v>73.599999999999994</v>
      </c>
      <c r="AO5" s="2">
        <v>15934</v>
      </c>
      <c r="AP5" s="2">
        <v>11725</v>
      </c>
      <c r="AQ5" s="1">
        <v>73.599999999999994</v>
      </c>
      <c r="AR5" s="2">
        <v>15786</v>
      </c>
      <c r="AS5" s="2">
        <v>11596</v>
      </c>
      <c r="AT5" s="1">
        <v>73.5</v>
      </c>
      <c r="AU5" s="2">
        <v>15605</v>
      </c>
      <c r="AV5" s="2">
        <v>11458</v>
      </c>
      <c r="AW5" s="1">
        <v>73.400000000000006</v>
      </c>
      <c r="AX5" s="2">
        <v>15346</v>
      </c>
      <c r="AY5" s="2">
        <v>11279</v>
      </c>
      <c r="AZ5" s="6">
        <v>73.5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4"/>
    </row>
    <row r="6" spans="1:1026">
      <c r="A6" s="1" t="s">
        <v>33</v>
      </c>
      <c r="B6" s="1">
        <v>4080</v>
      </c>
      <c r="C6" s="1">
        <v>3468</v>
      </c>
      <c r="D6" s="1">
        <v>85</v>
      </c>
      <c r="E6" s="1">
        <v>4041</v>
      </c>
      <c r="F6" s="1">
        <v>3414</v>
      </c>
      <c r="G6" s="1">
        <v>84.5</v>
      </c>
      <c r="H6" s="1">
        <v>4004</v>
      </c>
      <c r="I6" s="1">
        <v>3366</v>
      </c>
      <c r="J6" s="1">
        <v>84.1</v>
      </c>
      <c r="K6" s="2">
        <v>3962</v>
      </c>
      <c r="L6" s="2">
        <v>3318</v>
      </c>
      <c r="M6" s="1">
        <v>83.7</v>
      </c>
      <c r="N6" s="2">
        <v>3931</v>
      </c>
      <c r="O6" s="2">
        <v>3262</v>
      </c>
      <c r="P6" s="1">
        <v>83</v>
      </c>
      <c r="Q6" s="2">
        <v>3864</v>
      </c>
      <c r="R6" s="2">
        <v>3197</v>
      </c>
      <c r="S6" s="1">
        <v>82.7</v>
      </c>
      <c r="T6" s="2">
        <v>3814</v>
      </c>
      <c r="U6" s="2">
        <v>3149</v>
      </c>
      <c r="V6" s="1">
        <v>82.6</v>
      </c>
      <c r="W6" s="2">
        <v>3760</v>
      </c>
      <c r="X6" s="2">
        <v>3081</v>
      </c>
      <c r="Y6" s="1">
        <v>81.900000000000006</v>
      </c>
      <c r="Z6" s="2">
        <v>3711</v>
      </c>
      <c r="AA6" s="2">
        <v>3025</v>
      </c>
      <c r="AB6" s="1">
        <v>81.5</v>
      </c>
      <c r="AC6" s="2">
        <v>3682</v>
      </c>
      <c r="AD6" s="2">
        <v>2986</v>
      </c>
      <c r="AE6" s="1">
        <v>81.099999999999994</v>
      </c>
      <c r="AF6" s="2">
        <v>3636</v>
      </c>
      <c r="AG6" s="2">
        <v>2930</v>
      </c>
      <c r="AH6" s="1">
        <v>80.599999999999994</v>
      </c>
      <c r="AI6" s="2">
        <v>3636</v>
      </c>
      <c r="AJ6" s="2">
        <v>2930</v>
      </c>
      <c r="AK6" s="1">
        <v>80.599999999999994</v>
      </c>
      <c r="AL6" s="2">
        <v>3557</v>
      </c>
      <c r="AM6" s="2">
        <v>2837</v>
      </c>
      <c r="AN6" s="1">
        <v>79.8</v>
      </c>
      <c r="AO6" s="2">
        <v>3497</v>
      </c>
      <c r="AP6" s="2">
        <v>2761</v>
      </c>
      <c r="AQ6" s="1">
        <v>79</v>
      </c>
      <c r="AR6" s="2">
        <v>3442</v>
      </c>
      <c r="AS6" s="2">
        <v>2697</v>
      </c>
      <c r="AT6" s="1">
        <v>78.400000000000006</v>
      </c>
      <c r="AU6" s="2">
        <v>3407</v>
      </c>
      <c r="AV6" s="2">
        <v>2631</v>
      </c>
      <c r="AW6" s="1">
        <v>77.2</v>
      </c>
      <c r="AX6" s="2">
        <v>3337</v>
      </c>
      <c r="AY6" s="2">
        <v>2575</v>
      </c>
      <c r="AZ6" s="6">
        <v>77.2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4"/>
    </row>
    <row r="7" spans="1:1026">
      <c r="A7" s="1" t="s">
        <v>34</v>
      </c>
      <c r="B7" s="1">
        <v>5422</v>
      </c>
      <c r="C7" s="1">
        <v>4715</v>
      </c>
      <c r="D7" s="1">
        <v>87</v>
      </c>
      <c r="E7" s="1">
        <v>5370</v>
      </c>
      <c r="F7" s="1">
        <v>4665</v>
      </c>
      <c r="G7" s="1">
        <v>86.9</v>
      </c>
      <c r="H7" s="1">
        <v>5293</v>
      </c>
      <c r="I7" s="1">
        <v>4607</v>
      </c>
      <c r="J7" s="1">
        <v>87</v>
      </c>
      <c r="K7" s="2">
        <v>5253</v>
      </c>
      <c r="L7" s="2">
        <v>4598</v>
      </c>
      <c r="M7" s="1">
        <v>87.5</v>
      </c>
      <c r="N7" s="2">
        <v>5197</v>
      </c>
      <c r="O7" s="2">
        <v>4539</v>
      </c>
      <c r="P7" s="1">
        <v>87.3</v>
      </c>
      <c r="Q7" s="2">
        <v>5142</v>
      </c>
      <c r="R7" s="2">
        <v>4499</v>
      </c>
      <c r="S7" s="1">
        <v>87.5</v>
      </c>
      <c r="T7" s="2">
        <v>5045</v>
      </c>
      <c r="U7" s="2">
        <v>4411</v>
      </c>
      <c r="V7" s="1">
        <v>87.4</v>
      </c>
      <c r="W7" s="2">
        <v>4991</v>
      </c>
      <c r="X7" s="2">
        <v>4353</v>
      </c>
      <c r="Y7" s="1">
        <v>87.2</v>
      </c>
      <c r="Z7" s="2">
        <v>4901</v>
      </c>
      <c r="AA7" s="2">
        <v>4280</v>
      </c>
      <c r="AB7" s="1">
        <v>87.3</v>
      </c>
      <c r="AC7" s="2">
        <v>4819</v>
      </c>
      <c r="AD7" s="2">
        <v>4207</v>
      </c>
      <c r="AE7" s="1">
        <v>87.3</v>
      </c>
      <c r="AF7" s="2">
        <v>4742</v>
      </c>
      <c r="AG7" s="2">
        <v>4135</v>
      </c>
      <c r="AH7" s="1">
        <v>87.2</v>
      </c>
      <c r="AI7" s="2">
        <v>4742</v>
      </c>
      <c r="AJ7" s="2">
        <v>4135</v>
      </c>
      <c r="AK7" s="1">
        <v>87.2</v>
      </c>
      <c r="AL7" s="2">
        <v>4717</v>
      </c>
      <c r="AM7" s="2">
        <v>4100</v>
      </c>
      <c r="AN7" s="1">
        <v>86.9</v>
      </c>
      <c r="AO7" s="2">
        <v>4681</v>
      </c>
      <c r="AP7" s="2">
        <v>4037</v>
      </c>
      <c r="AQ7" s="1">
        <v>86.2</v>
      </c>
      <c r="AR7" s="2">
        <v>4651</v>
      </c>
      <c r="AS7" s="2">
        <v>3978</v>
      </c>
      <c r="AT7" s="1">
        <v>85.5</v>
      </c>
      <c r="AU7" s="2">
        <v>4586</v>
      </c>
      <c r="AV7" s="2">
        <v>3906</v>
      </c>
      <c r="AW7" s="1">
        <v>85.2</v>
      </c>
      <c r="AX7" s="2">
        <v>4545</v>
      </c>
      <c r="AY7" s="2">
        <v>3847</v>
      </c>
      <c r="AZ7" s="6">
        <v>84.6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4"/>
    </row>
    <row r="8" spans="1:1026">
      <c r="A8" s="1" t="s">
        <v>35</v>
      </c>
      <c r="B8" s="1">
        <v>3108</v>
      </c>
      <c r="C8" s="1">
        <v>2872</v>
      </c>
      <c r="D8" s="1">
        <v>92.4</v>
      </c>
      <c r="E8" s="1">
        <v>3033</v>
      </c>
      <c r="F8" s="1">
        <v>2807</v>
      </c>
      <c r="G8" s="1">
        <v>92.5</v>
      </c>
      <c r="H8" s="1">
        <v>2977</v>
      </c>
      <c r="I8" s="1">
        <v>2768</v>
      </c>
      <c r="J8" s="1">
        <v>93</v>
      </c>
      <c r="K8" s="2">
        <v>2912</v>
      </c>
      <c r="L8" s="2">
        <v>2721</v>
      </c>
      <c r="M8" s="1">
        <v>93.4</v>
      </c>
      <c r="N8" s="2">
        <v>2863</v>
      </c>
      <c r="O8" s="2">
        <v>2679</v>
      </c>
      <c r="P8" s="1">
        <v>93.6</v>
      </c>
      <c r="Q8" s="2">
        <v>2799</v>
      </c>
      <c r="R8" s="2">
        <v>2619</v>
      </c>
      <c r="S8" s="1">
        <v>93.6</v>
      </c>
      <c r="T8" s="2">
        <v>2734</v>
      </c>
      <c r="U8" s="2">
        <v>2558</v>
      </c>
      <c r="V8" s="1">
        <v>93.6</v>
      </c>
      <c r="W8" s="2">
        <v>2692</v>
      </c>
      <c r="X8" s="2">
        <v>2515</v>
      </c>
      <c r="Y8" s="1">
        <v>93.4</v>
      </c>
      <c r="Z8" s="2">
        <v>2644</v>
      </c>
      <c r="AA8" s="2">
        <v>2472</v>
      </c>
      <c r="AB8" s="1">
        <v>93.5</v>
      </c>
      <c r="AC8" s="2">
        <v>2608</v>
      </c>
      <c r="AD8" s="2">
        <v>2410</v>
      </c>
      <c r="AE8" s="1">
        <v>92.4</v>
      </c>
      <c r="AF8" s="2">
        <v>2537</v>
      </c>
      <c r="AG8" s="2">
        <v>2347</v>
      </c>
      <c r="AH8" s="1">
        <v>92.5</v>
      </c>
      <c r="AI8" s="2">
        <v>2537</v>
      </c>
      <c r="AJ8" s="2">
        <v>2347</v>
      </c>
      <c r="AK8" s="1">
        <v>92.5</v>
      </c>
      <c r="AL8" s="2">
        <v>2471</v>
      </c>
      <c r="AM8" s="2">
        <v>2277</v>
      </c>
      <c r="AN8" s="1">
        <v>92.1</v>
      </c>
      <c r="AO8" s="2">
        <v>2418</v>
      </c>
      <c r="AP8" s="2">
        <v>2230</v>
      </c>
      <c r="AQ8" s="1">
        <v>92.2</v>
      </c>
      <c r="AR8" s="2">
        <v>2385</v>
      </c>
      <c r="AS8" s="2">
        <v>2187</v>
      </c>
      <c r="AT8" s="1">
        <v>91.7</v>
      </c>
      <c r="AU8" s="2">
        <v>2349</v>
      </c>
      <c r="AV8" s="2">
        <v>2136</v>
      </c>
      <c r="AW8" s="1">
        <v>90.9</v>
      </c>
      <c r="AX8" s="2">
        <v>2310</v>
      </c>
      <c r="AY8" s="2">
        <v>2098</v>
      </c>
      <c r="AZ8" s="6">
        <v>90.8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4"/>
    </row>
    <row r="9" spans="1:1026">
      <c r="A9" s="1" t="s">
        <v>36</v>
      </c>
      <c r="B9" s="1">
        <v>23918</v>
      </c>
      <c r="C9" s="1">
        <v>15970</v>
      </c>
      <c r="D9" s="1">
        <v>66.8</v>
      </c>
      <c r="E9" s="1">
        <v>23945</v>
      </c>
      <c r="F9" s="1">
        <v>15898</v>
      </c>
      <c r="G9" s="1">
        <v>66.400000000000006</v>
      </c>
      <c r="H9" s="1">
        <v>23938</v>
      </c>
      <c r="I9" s="1">
        <v>15901</v>
      </c>
      <c r="J9" s="1">
        <v>66.400000000000006</v>
      </c>
      <c r="K9" s="2">
        <v>23742</v>
      </c>
      <c r="L9" s="2">
        <v>15861</v>
      </c>
      <c r="M9" s="1">
        <v>66.8</v>
      </c>
      <c r="N9" s="2">
        <v>23762</v>
      </c>
      <c r="O9" s="2">
        <v>15816</v>
      </c>
      <c r="P9" s="1">
        <v>66.599999999999994</v>
      </c>
      <c r="Q9" s="2">
        <v>23800</v>
      </c>
      <c r="R9" s="2">
        <v>15819</v>
      </c>
      <c r="S9" s="1">
        <v>66.5</v>
      </c>
      <c r="T9" s="2">
        <v>23766</v>
      </c>
      <c r="U9" s="2">
        <v>15731</v>
      </c>
      <c r="V9" s="1">
        <v>66.2</v>
      </c>
      <c r="W9" s="2">
        <v>23878</v>
      </c>
      <c r="X9" s="2">
        <v>15695</v>
      </c>
      <c r="Y9" s="1">
        <v>65.7</v>
      </c>
      <c r="Z9" s="2">
        <v>23852</v>
      </c>
      <c r="AA9" s="2">
        <v>15605</v>
      </c>
      <c r="AB9" s="1">
        <v>65.400000000000006</v>
      </c>
      <c r="AC9" s="2">
        <v>23689</v>
      </c>
      <c r="AD9" s="2">
        <v>15479</v>
      </c>
      <c r="AE9" s="1">
        <v>65.3</v>
      </c>
      <c r="AF9" s="2">
        <v>23269</v>
      </c>
      <c r="AG9" s="2">
        <v>15287</v>
      </c>
      <c r="AH9" s="1">
        <v>65.7</v>
      </c>
      <c r="AI9" s="2">
        <v>23269</v>
      </c>
      <c r="AJ9" s="2">
        <v>15287</v>
      </c>
      <c r="AK9" s="1">
        <v>65.7</v>
      </c>
      <c r="AL9" s="2">
        <v>23072</v>
      </c>
      <c r="AM9" s="2">
        <v>15147</v>
      </c>
      <c r="AN9" s="1">
        <v>65.7</v>
      </c>
      <c r="AO9" s="2">
        <v>22843</v>
      </c>
      <c r="AP9" s="2">
        <v>14982</v>
      </c>
      <c r="AQ9" s="1">
        <v>65.599999999999994</v>
      </c>
      <c r="AR9" s="2">
        <v>22782</v>
      </c>
      <c r="AS9" s="2">
        <v>14898</v>
      </c>
      <c r="AT9" s="1">
        <v>65.400000000000006</v>
      </c>
      <c r="AU9" s="2">
        <v>22844</v>
      </c>
      <c r="AV9" s="2">
        <v>14758</v>
      </c>
      <c r="AW9" s="1">
        <v>64.599999999999994</v>
      </c>
      <c r="AX9" s="2">
        <v>22759</v>
      </c>
      <c r="AY9" s="2">
        <v>14597</v>
      </c>
      <c r="AZ9" s="6">
        <v>64.099999999999994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4"/>
    </row>
    <row r="10" spans="1:1026">
      <c r="A10" s="1" t="s">
        <v>37</v>
      </c>
      <c r="B10" s="1">
        <v>39226</v>
      </c>
      <c r="C10" s="1">
        <v>24472</v>
      </c>
      <c r="D10" s="1">
        <v>62.4</v>
      </c>
      <c r="E10" s="1">
        <v>39078</v>
      </c>
      <c r="F10" s="1">
        <v>24360</v>
      </c>
      <c r="G10" s="1">
        <v>62.3</v>
      </c>
      <c r="H10" s="1">
        <v>39050</v>
      </c>
      <c r="I10" s="1">
        <v>24275</v>
      </c>
      <c r="J10" s="1">
        <v>62.2</v>
      </c>
      <c r="K10" s="2">
        <v>38481</v>
      </c>
      <c r="L10" s="2">
        <v>23995</v>
      </c>
      <c r="M10" s="1">
        <v>62.4</v>
      </c>
      <c r="N10" s="2">
        <v>38394</v>
      </c>
      <c r="O10" s="2">
        <v>23914</v>
      </c>
      <c r="P10" s="1">
        <v>62.3</v>
      </c>
      <c r="Q10" s="2">
        <v>38179</v>
      </c>
      <c r="R10" s="2">
        <v>23778</v>
      </c>
      <c r="S10" s="1">
        <v>62.3</v>
      </c>
      <c r="T10" s="2">
        <v>38028</v>
      </c>
      <c r="U10" s="2">
        <v>23649</v>
      </c>
      <c r="V10" s="1">
        <v>62.2</v>
      </c>
      <c r="W10" s="2">
        <v>38047</v>
      </c>
      <c r="X10" s="2">
        <v>23530</v>
      </c>
      <c r="Y10" s="1">
        <v>61.8</v>
      </c>
      <c r="Z10" s="2">
        <v>38006</v>
      </c>
      <c r="AA10" s="2">
        <v>23431</v>
      </c>
      <c r="AB10" s="1">
        <v>61.7</v>
      </c>
      <c r="AC10" s="2">
        <v>37870</v>
      </c>
      <c r="AD10" s="2">
        <v>23278</v>
      </c>
      <c r="AE10" s="1">
        <v>61.5</v>
      </c>
      <c r="AF10" s="2">
        <v>37484</v>
      </c>
      <c r="AG10" s="2">
        <v>23070</v>
      </c>
      <c r="AH10" s="1">
        <v>61.5</v>
      </c>
      <c r="AI10" s="2">
        <v>37484</v>
      </c>
      <c r="AJ10" s="2">
        <v>23070</v>
      </c>
      <c r="AK10" s="1">
        <v>61.5</v>
      </c>
      <c r="AL10" s="2">
        <v>37226</v>
      </c>
      <c r="AM10" s="2">
        <v>22837</v>
      </c>
      <c r="AN10" s="1">
        <v>61.3</v>
      </c>
      <c r="AO10" s="2">
        <v>36847</v>
      </c>
      <c r="AP10" s="2">
        <v>22520</v>
      </c>
      <c r="AQ10" s="1">
        <v>61.1</v>
      </c>
      <c r="AR10" s="2">
        <v>36774</v>
      </c>
      <c r="AS10" s="2">
        <v>22342</v>
      </c>
      <c r="AT10" s="1">
        <v>60.8</v>
      </c>
      <c r="AU10" s="2">
        <v>36750</v>
      </c>
      <c r="AV10" s="2">
        <v>22122</v>
      </c>
      <c r="AW10" s="1">
        <v>60.2</v>
      </c>
      <c r="AX10" s="2">
        <v>36877</v>
      </c>
      <c r="AY10" s="2">
        <v>21906</v>
      </c>
      <c r="AZ10" s="6">
        <v>59.4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4"/>
    </row>
    <row r="11" spans="1:1026">
      <c r="A11" s="1" t="s">
        <v>38</v>
      </c>
      <c r="B11" s="1">
        <v>50406</v>
      </c>
      <c r="C11" s="1">
        <v>26826</v>
      </c>
      <c r="D11" s="1">
        <v>53.2</v>
      </c>
      <c r="E11" s="1">
        <v>50510</v>
      </c>
      <c r="F11" s="1">
        <v>26758</v>
      </c>
      <c r="G11" s="1">
        <v>53</v>
      </c>
      <c r="H11" s="1">
        <v>50230</v>
      </c>
      <c r="I11" s="1">
        <v>26555</v>
      </c>
      <c r="J11" s="1">
        <v>52.9</v>
      </c>
      <c r="K11" s="2">
        <v>49596</v>
      </c>
      <c r="L11" s="2">
        <v>26423</v>
      </c>
      <c r="M11" s="1">
        <v>53.3</v>
      </c>
      <c r="N11" s="2">
        <v>49875</v>
      </c>
      <c r="O11" s="2">
        <v>26385</v>
      </c>
      <c r="P11" s="1">
        <v>52.9</v>
      </c>
      <c r="Q11" s="2">
        <v>50100</v>
      </c>
      <c r="R11" s="2">
        <v>26328</v>
      </c>
      <c r="S11" s="1">
        <v>52.6</v>
      </c>
      <c r="T11" s="2">
        <v>50031</v>
      </c>
      <c r="U11" s="2">
        <v>26230</v>
      </c>
      <c r="V11" s="1">
        <v>52.4</v>
      </c>
      <c r="W11" s="2">
        <v>50233</v>
      </c>
      <c r="X11" s="2">
        <v>26015</v>
      </c>
      <c r="Y11" s="1">
        <v>51.8</v>
      </c>
      <c r="Z11" s="2">
        <v>50473</v>
      </c>
      <c r="AA11" s="2">
        <v>25792</v>
      </c>
      <c r="AB11" s="1">
        <v>51.1</v>
      </c>
      <c r="AC11" s="2">
        <v>50598</v>
      </c>
      <c r="AD11" s="2">
        <v>25551</v>
      </c>
      <c r="AE11" s="1">
        <v>50.5</v>
      </c>
      <c r="AF11" s="2">
        <v>49893</v>
      </c>
      <c r="AG11" s="2">
        <v>25196</v>
      </c>
      <c r="AH11" s="1">
        <v>50.5</v>
      </c>
      <c r="AI11" s="2">
        <v>49893</v>
      </c>
      <c r="AJ11" s="2">
        <v>25196</v>
      </c>
      <c r="AK11" s="1">
        <v>50.5</v>
      </c>
      <c r="AL11" s="2">
        <v>50089</v>
      </c>
      <c r="AM11" s="2">
        <v>24972</v>
      </c>
      <c r="AN11" s="1">
        <v>49.9</v>
      </c>
      <c r="AO11" s="2">
        <v>50189</v>
      </c>
      <c r="AP11" s="2">
        <v>24685</v>
      </c>
      <c r="AQ11" s="1">
        <v>49.2</v>
      </c>
      <c r="AR11" s="2">
        <v>50194</v>
      </c>
      <c r="AS11" s="2">
        <v>24364</v>
      </c>
      <c r="AT11" s="1">
        <v>48.5</v>
      </c>
      <c r="AU11" s="2">
        <v>50366</v>
      </c>
      <c r="AV11" s="2">
        <v>23978</v>
      </c>
      <c r="AW11" s="1">
        <v>47.6</v>
      </c>
      <c r="AX11" s="2">
        <v>50739</v>
      </c>
      <c r="AY11" s="2">
        <v>23595</v>
      </c>
      <c r="AZ11" s="6">
        <v>46.5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4"/>
    </row>
    <row r="12" spans="1:1026">
      <c r="A12" s="1" t="s">
        <v>39</v>
      </c>
      <c r="B12" s="1">
        <v>15161</v>
      </c>
      <c r="C12" s="1">
        <v>8594</v>
      </c>
      <c r="D12" s="1">
        <v>56.7</v>
      </c>
      <c r="E12" s="1">
        <v>15224</v>
      </c>
      <c r="F12" s="1">
        <v>8612</v>
      </c>
      <c r="G12" s="1">
        <v>56.6</v>
      </c>
      <c r="H12" s="1">
        <v>15255</v>
      </c>
      <c r="I12" s="1">
        <v>8667</v>
      </c>
      <c r="J12" s="1">
        <v>56.8</v>
      </c>
      <c r="K12" s="2">
        <v>15081</v>
      </c>
      <c r="L12" s="2">
        <v>8618</v>
      </c>
      <c r="M12" s="1">
        <v>57.1</v>
      </c>
      <c r="N12" s="2">
        <v>15075</v>
      </c>
      <c r="O12" s="2">
        <v>8574</v>
      </c>
      <c r="P12" s="1">
        <v>56.9</v>
      </c>
      <c r="Q12" s="2">
        <v>15002</v>
      </c>
      <c r="R12" s="2">
        <v>8556</v>
      </c>
      <c r="S12" s="1">
        <v>57</v>
      </c>
      <c r="T12" s="2">
        <v>15003</v>
      </c>
      <c r="U12" s="2">
        <v>8531</v>
      </c>
      <c r="V12" s="1">
        <v>56.9</v>
      </c>
      <c r="W12" s="2">
        <v>15130</v>
      </c>
      <c r="X12" s="2">
        <v>8505</v>
      </c>
      <c r="Y12" s="1">
        <v>56.2</v>
      </c>
      <c r="Z12" s="2">
        <v>15122</v>
      </c>
      <c r="AA12" s="2">
        <v>8480</v>
      </c>
      <c r="AB12" s="1">
        <v>56.1</v>
      </c>
      <c r="AC12" s="2">
        <v>15066</v>
      </c>
      <c r="AD12" s="2">
        <v>8436</v>
      </c>
      <c r="AE12" s="1">
        <v>56</v>
      </c>
      <c r="AF12" s="2">
        <v>15074</v>
      </c>
      <c r="AG12" s="2">
        <v>8424</v>
      </c>
      <c r="AH12" s="1">
        <v>55.9</v>
      </c>
      <c r="AI12" s="2">
        <v>15074</v>
      </c>
      <c r="AJ12" s="2">
        <v>8424</v>
      </c>
      <c r="AK12" s="1">
        <v>55.9</v>
      </c>
      <c r="AL12" s="2">
        <v>15110</v>
      </c>
      <c r="AM12" s="2">
        <v>8427</v>
      </c>
      <c r="AN12" s="1">
        <v>55.8</v>
      </c>
      <c r="AO12" s="2">
        <v>15143</v>
      </c>
      <c r="AP12" s="2">
        <v>8436</v>
      </c>
      <c r="AQ12" s="1">
        <v>55.7</v>
      </c>
      <c r="AR12" s="2">
        <v>15154</v>
      </c>
      <c r="AS12" s="2">
        <v>8439</v>
      </c>
      <c r="AT12" s="1">
        <v>55.7</v>
      </c>
      <c r="AU12" s="2">
        <v>15258</v>
      </c>
      <c r="AV12" s="2">
        <v>8450</v>
      </c>
      <c r="AW12" s="1">
        <v>55.4</v>
      </c>
      <c r="AX12" s="2">
        <v>15347</v>
      </c>
      <c r="AY12" s="2">
        <v>8452</v>
      </c>
      <c r="AZ12" s="6">
        <v>55.1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4"/>
    </row>
    <row r="13" spans="1:1026">
      <c r="A13" s="1" t="s">
        <v>40</v>
      </c>
      <c r="B13" s="1">
        <v>23856</v>
      </c>
      <c r="C13" s="1">
        <v>12928</v>
      </c>
      <c r="D13" s="1">
        <v>54.2</v>
      </c>
      <c r="E13" s="1">
        <v>24125</v>
      </c>
      <c r="F13" s="1">
        <v>12973</v>
      </c>
      <c r="G13" s="1">
        <v>53.8</v>
      </c>
      <c r="H13" s="1">
        <v>24085</v>
      </c>
      <c r="I13" s="1">
        <v>12966</v>
      </c>
      <c r="J13" s="1">
        <v>53.8</v>
      </c>
      <c r="K13" s="2">
        <v>23880</v>
      </c>
      <c r="L13" s="2">
        <v>12903</v>
      </c>
      <c r="M13" s="1">
        <v>54</v>
      </c>
      <c r="N13" s="2">
        <v>23884</v>
      </c>
      <c r="O13" s="2">
        <v>12890</v>
      </c>
      <c r="P13" s="1">
        <v>54</v>
      </c>
      <c r="Q13" s="2">
        <v>23842</v>
      </c>
      <c r="R13" s="2">
        <v>12866</v>
      </c>
      <c r="S13" s="1">
        <v>54</v>
      </c>
      <c r="T13" s="2">
        <v>23926</v>
      </c>
      <c r="U13" s="2">
        <v>12866</v>
      </c>
      <c r="V13" s="1">
        <v>53.8</v>
      </c>
      <c r="W13" s="2">
        <v>23858</v>
      </c>
      <c r="X13" s="2">
        <v>12812</v>
      </c>
      <c r="Y13" s="1">
        <v>53.7</v>
      </c>
      <c r="Z13" s="2">
        <v>23824</v>
      </c>
      <c r="AA13" s="2">
        <v>12701</v>
      </c>
      <c r="AB13" s="1">
        <v>53.3</v>
      </c>
      <c r="AC13" s="2">
        <v>23933</v>
      </c>
      <c r="AD13" s="2">
        <v>12663</v>
      </c>
      <c r="AE13" s="1">
        <v>52.9</v>
      </c>
      <c r="AF13" s="2">
        <v>23872</v>
      </c>
      <c r="AG13" s="2">
        <v>12600</v>
      </c>
      <c r="AH13" s="1">
        <v>52.8</v>
      </c>
      <c r="AI13" s="2">
        <v>23872</v>
      </c>
      <c r="AJ13" s="2">
        <v>12600</v>
      </c>
      <c r="AK13" s="1">
        <v>52.8</v>
      </c>
      <c r="AL13" s="2">
        <v>23882</v>
      </c>
      <c r="AM13" s="2">
        <v>12525</v>
      </c>
      <c r="AN13" s="1">
        <v>52.4</v>
      </c>
      <c r="AO13" s="2">
        <v>23760</v>
      </c>
      <c r="AP13" s="2">
        <v>12397</v>
      </c>
      <c r="AQ13" s="1">
        <v>52.2</v>
      </c>
      <c r="AR13" s="2">
        <v>23858</v>
      </c>
      <c r="AS13" s="2">
        <v>12354</v>
      </c>
      <c r="AT13" s="1">
        <v>51.8</v>
      </c>
      <c r="AU13" s="2">
        <v>23966</v>
      </c>
      <c r="AV13" s="2">
        <v>12284</v>
      </c>
      <c r="AW13" s="1">
        <v>51.3</v>
      </c>
      <c r="AX13" s="2">
        <v>23903</v>
      </c>
      <c r="AY13" s="2">
        <v>12144</v>
      </c>
      <c r="AZ13" s="6">
        <v>50.8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4"/>
    </row>
    <row r="14" spans="1:1026">
      <c r="A14" s="1" t="s">
        <v>41</v>
      </c>
      <c r="B14" s="1">
        <v>28763</v>
      </c>
      <c r="C14" s="1">
        <v>15644</v>
      </c>
      <c r="D14" s="1">
        <v>54.4</v>
      </c>
      <c r="E14" s="1">
        <v>29023</v>
      </c>
      <c r="F14" s="1">
        <v>15624</v>
      </c>
      <c r="G14" s="1">
        <v>53.8</v>
      </c>
      <c r="H14" s="1">
        <v>28936</v>
      </c>
      <c r="I14" s="1">
        <v>15465</v>
      </c>
      <c r="J14" s="1">
        <v>53.4</v>
      </c>
      <c r="K14" s="2">
        <v>28369</v>
      </c>
      <c r="L14" s="2">
        <v>15353</v>
      </c>
      <c r="M14" s="1">
        <v>54.1</v>
      </c>
      <c r="N14" s="2">
        <v>28486</v>
      </c>
      <c r="O14" s="2">
        <v>15295</v>
      </c>
      <c r="P14" s="1">
        <v>53.7</v>
      </c>
      <c r="Q14" s="2">
        <v>28326</v>
      </c>
      <c r="R14" s="2">
        <v>15164</v>
      </c>
      <c r="S14" s="1">
        <v>53.5</v>
      </c>
      <c r="T14" s="2">
        <v>28249</v>
      </c>
      <c r="U14" s="2">
        <v>15047</v>
      </c>
      <c r="V14" s="1">
        <v>53.3</v>
      </c>
      <c r="W14" s="2">
        <v>28393</v>
      </c>
      <c r="X14" s="2">
        <v>14926</v>
      </c>
      <c r="Y14" s="1">
        <v>52.6</v>
      </c>
      <c r="Z14" s="2">
        <v>28517</v>
      </c>
      <c r="AA14" s="2">
        <v>14818</v>
      </c>
      <c r="AB14" s="1">
        <v>52</v>
      </c>
      <c r="AC14" s="2">
        <v>28420</v>
      </c>
      <c r="AD14" s="2">
        <v>14586</v>
      </c>
      <c r="AE14" s="1">
        <v>51.3</v>
      </c>
      <c r="AF14" s="2">
        <v>28167</v>
      </c>
      <c r="AG14" s="2">
        <v>14433</v>
      </c>
      <c r="AH14" s="1">
        <v>51.2</v>
      </c>
      <c r="AI14" s="2">
        <v>28167</v>
      </c>
      <c r="AJ14" s="2">
        <v>14433</v>
      </c>
      <c r="AK14" s="1">
        <v>51.2</v>
      </c>
      <c r="AL14" s="2">
        <v>28242</v>
      </c>
      <c r="AM14" s="2">
        <v>14242</v>
      </c>
      <c r="AN14" s="1">
        <v>50.4</v>
      </c>
      <c r="AO14" s="2">
        <v>28197</v>
      </c>
      <c r="AP14" s="2">
        <v>14035</v>
      </c>
      <c r="AQ14" s="1">
        <v>49.8</v>
      </c>
      <c r="AR14" s="2">
        <v>28185</v>
      </c>
      <c r="AS14" s="2">
        <v>13880</v>
      </c>
      <c r="AT14" s="1">
        <v>49.2</v>
      </c>
      <c r="AU14" s="2">
        <v>28181</v>
      </c>
      <c r="AV14" s="2">
        <v>13674</v>
      </c>
      <c r="AW14" s="1">
        <v>48.5</v>
      </c>
      <c r="AX14" s="2">
        <v>28506</v>
      </c>
      <c r="AY14" s="2">
        <v>13488</v>
      </c>
      <c r="AZ14" s="6">
        <v>47.3</v>
      </c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4"/>
    </row>
    <row r="15" spans="1:1026">
      <c r="A15" s="1" t="s">
        <v>42</v>
      </c>
      <c r="B15" s="2">
        <v>68151</v>
      </c>
      <c r="C15" s="2">
        <v>48919</v>
      </c>
      <c r="D15" s="1">
        <v>71.8</v>
      </c>
      <c r="E15" s="2">
        <v>67394</v>
      </c>
      <c r="F15" s="2">
        <v>48112</v>
      </c>
      <c r="G15" s="1">
        <v>71.400000000000006</v>
      </c>
      <c r="H15" s="2">
        <v>66485</v>
      </c>
      <c r="I15" s="2">
        <v>47255</v>
      </c>
      <c r="J15" s="1">
        <v>71.099999999999994</v>
      </c>
      <c r="K15" s="2">
        <v>64848</v>
      </c>
      <c r="L15" s="2">
        <v>46354</v>
      </c>
      <c r="M15" s="1">
        <v>71.5</v>
      </c>
      <c r="N15" s="2">
        <v>64371</v>
      </c>
      <c r="O15" s="2">
        <v>45744</v>
      </c>
      <c r="P15" s="1">
        <v>71.099999999999994</v>
      </c>
      <c r="Q15" s="2">
        <v>63530</v>
      </c>
      <c r="R15" s="2">
        <v>44999</v>
      </c>
      <c r="S15" s="1">
        <v>70.8</v>
      </c>
      <c r="T15" s="2">
        <v>62484</v>
      </c>
      <c r="U15" s="2">
        <v>44081</v>
      </c>
      <c r="V15" s="1">
        <v>70.5</v>
      </c>
      <c r="W15" s="2">
        <v>61482</v>
      </c>
      <c r="X15" s="2">
        <v>43158</v>
      </c>
      <c r="Y15" s="1">
        <v>70.2</v>
      </c>
      <c r="Z15" s="2">
        <v>60541</v>
      </c>
      <c r="AA15" s="2">
        <v>42347</v>
      </c>
      <c r="AB15" s="1">
        <v>69.900000000000006</v>
      </c>
      <c r="AC15" s="2">
        <v>59570</v>
      </c>
      <c r="AD15" s="2">
        <v>41388</v>
      </c>
      <c r="AE15" s="1">
        <v>69.5</v>
      </c>
      <c r="AF15" s="2">
        <v>58487</v>
      </c>
      <c r="AG15" s="2">
        <v>40507</v>
      </c>
      <c r="AH15" s="1">
        <v>69.3</v>
      </c>
      <c r="AI15" s="2">
        <v>58487</v>
      </c>
      <c r="AJ15" s="2">
        <v>40507</v>
      </c>
      <c r="AK15" s="1">
        <v>69.3</v>
      </c>
      <c r="AL15" s="2">
        <v>57622</v>
      </c>
      <c r="AM15" s="2">
        <v>39614</v>
      </c>
      <c r="AN15" s="1">
        <v>68.7</v>
      </c>
      <c r="AO15" s="2">
        <v>56764</v>
      </c>
      <c r="AP15" s="2">
        <v>38703</v>
      </c>
      <c r="AQ15" s="1">
        <v>68.2</v>
      </c>
      <c r="AR15" s="2">
        <v>56165</v>
      </c>
      <c r="AS15" s="2">
        <v>37927</v>
      </c>
      <c r="AT15" s="1">
        <v>67.5</v>
      </c>
      <c r="AU15" s="2">
        <v>55424</v>
      </c>
      <c r="AV15" s="2">
        <v>37097</v>
      </c>
      <c r="AW15" s="1">
        <v>66.900000000000006</v>
      </c>
      <c r="AX15" s="2">
        <v>54480</v>
      </c>
      <c r="AY15" s="2">
        <v>36287</v>
      </c>
      <c r="AZ15" s="6">
        <v>66.599999999999994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4"/>
    </row>
    <row r="16" spans="1:1026">
      <c r="A16" s="1" t="s">
        <v>43</v>
      </c>
      <c r="B16" s="2">
        <v>21403</v>
      </c>
      <c r="C16" s="2">
        <v>16273</v>
      </c>
      <c r="D16" s="1">
        <v>76</v>
      </c>
      <c r="E16" s="2">
        <v>21290</v>
      </c>
      <c r="F16" s="2">
        <v>16113</v>
      </c>
      <c r="G16" s="1">
        <v>75.7</v>
      </c>
      <c r="H16" s="2">
        <v>21148</v>
      </c>
      <c r="I16" s="2">
        <v>15989</v>
      </c>
      <c r="J16" s="1">
        <v>75.599999999999994</v>
      </c>
      <c r="K16" s="2">
        <v>20889</v>
      </c>
      <c r="L16" s="2">
        <v>15840</v>
      </c>
      <c r="M16" s="1">
        <v>75.8</v>
      </c>
      <c r="N16" s="2">
        <v>20732</v>
      </c>
      <c r="O16" s="2">
        <v>15696</v>
      </c>
      <c r="P16" s="1">
        <v>75.7</v>
      </c>
      <c r="Q16" s="2">
        <v>20573</v>
      </c>
      <c r="R16" s="2">
        <v>15580</v>
      </c>
      <c r="S16" s="1">
        <v>75.7</v>
      </c>
      <c r="T16" s="2">
        <v>20418</v>
      </c>
      <c r="U16" s="2">
        <v>15427</v>
      </c>
      <c r="V16" s="1">
        <v>75.599999999999994</v>
      </c>
      <c r="W16" s="2">
        <v>20300</v>
      </c>
      <c r="X16" s="2">
        <v>15296</v>
      </c>
      <c r="Y16" s="1">
        <v>75.3</v>
      </c>
      <c r="Z16" s="2">
        <v>20185</v>
      </c>
      <c r="AA16" s="2">
        <v>15173</v>
      </c>
      <c r="AB16" s="1">
        <v>75.2</v>
      </c>
      <c r="AC16" s="2">
        <v>20151</v>
      </c>
      <c r="AD16" s="2">
        <v>15126</v>
      </c>
      <c r="AE16" s="1">
        <v>75.099999999999994</v>
      </c>
      <c r="AF16" s="2">
        <v>19900</v>
      </c>
      <c r="AG16" s="2">
        <v>14910</v>
      </c>
      <c r="AH16" s="1">
        <v>74.900000000000006</v>
      </c>
      <c r="AI16" s="2">
        <v>19900</v>
      </c>
      <c r="AJ16" s="2">
        <v>14910</v>
      </c>
      <c r="AK16" s="1">
        <v>74.900000000000006</v>
      </c>
      <c r="AL16" s="2">
        <v>19607</v>
      </c>
      <c r="AM16" s="2">
        <v>14656</v>
      </c>
      <c r="AN16" s="1">
        <v>74.7</v>
      </c>
      <c r="AO16" s="2">
        <v>19431</v>
      </c>
      <c r="AP16" s="2">
        <v>14486</v>
      </c>
      <c r="AQ16" s="1">
        <v>74.599999999999994</v>
      </c>
      <c r="AR16" s="2">
        <v>19228</v>
      </c>
      <c r="AS16" s="2">
        <v>14293</v>
      </c>
      <c r="AT16" s="1">
        <v>74.3</v>
      </c>
      <c r="AU16" s="2">
        <v>19012</v>
      </c>
      <c r="AV16" s="2">
        <v>14089</v>
      </c>
      <c r="AW16" s="1">
        <v>74.099999999999994</v>
      </c>
      <c r="AX16" s="2">
        <v>18683</v>
      </c>
      <c r="AY16" s="2">
        <v>13854</v>
      </c>
      <c r="AZ16" s="6">
        <v>74.2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4"/>
    </row>
    <row r="17" spans="1:1026">
      <c r="A17" s="1" t="s">
        <v>44</v>
      </c>
      <c r="B17" s="2">
        <v>23918</v>
      </c>
      <c r="C17" s="2">
        <v>15970</v>
      </c>
      <c r="D17" s="1">
        <v>66.8</v>
      </c>
      <c r="E17" s="2">
        <v>23945</v>
      </c>
      <c r="F17" s="2">
        <v>15898</v>
      </c>
      <c r="G17" s="1">
        <v>66.400000000000006</v>
      </c>
      <c r="H17" s="2">
        <v>23938</v>
      </c>
      <c r="I17" s="2">
        <v>15901</v>
      </c>
      <c r="J17" s="1">
        <v>66.400000000000006</v>
      </c>
      <c r="K17" s="2">
        <v>23742</v>
      </c>
      <c r="L17" s="2">
        <v>15861</v>
      </c>
      <c r="M17" s="1">
        <v>66.8</v>
      </c>
      <c r="N17" s="2">
        <v>23762</v>
      </c>
      <c r="O17" s="2">
        <v>15816</v>
      </c>
      <c r="P17" s="1">
        <v>66.599999999999994</v>
      </c>
      <c r="Q17" s="2">
        <v>23800</v>
      </c>
      <c r="R17" s="2">
        <v>15819</v>
      </c>
      <c r="S17" s="1">
        <v>66.5</v>
      </c>
      <c r="T17" s="2">
        <v>23766</v>
      </c>
      <c r="U17" s="2">
        <v>15731</v>
      </c>
      <c r="V17" s="1">
        <v>66.2</v>
      </c>
      <c r="W17" s="2">
        <v>23878</v>
      </c>
      <c r="X17" s="2">
        <v>15695</v>
      </c>
      <c r="Y17" s="1">
        <v>65.7</v>
      </c>
      <c r="Z17" s="2">
        <v>23852</v>
      </c>
      <c r="AA17" s="2">
        <v>15605</v>
      </c>
      <c r="AB17" s="1">
        <v>65.400000000000006</v>
      </c>
      <c r="AC17" s="2">
        <v>23689</v>
      </c>
      <c r="AD17" s="2">
        <v>15479</v>
      </c>
      <c r="AE17" s="1">
        <v>65.3</v>
      </c>
      <c r="AF17" s="2">
        <v>23269</v>
      </c>
      <c r="AG17" s="2">
        <v>15287</v>
      </c>
      <c r="AH17" s="1">
        <v>65.7</v>
      </c>
      <c r="AI17" s="2">
        <v>23269</v>
      </c>
      <c r="AJ17" s="2">
        <v>15287</v>
      </c>
      <c r="AK17" s="1">
        <v>65.7</v>
      </c>
      <c r="AL17" s="2">
        <v>23072</v>
      </c>
      <c r="AM17" s="2">
        <v>15147</v>
      </c>
      <c r="AN17" s="1">
        <v>65.7</v>
      </c>
      <c r="AO17" s="2">
        <v>22843</v>
      </c>
      <c r="AP17" s="2">
        <v>14982</v>
      </c>
      <c r="AQ17" s="1">
        <v>65.599999999999994</v>
      </c>
      <c r="AR17" s="2">
        <v>22782</v>
      </c>
      <c r="AS17" s="2">
        <v>14898</v>
      </c>
      <c r="AT17" s="1">
        <v>65.400000000000006</v>
      </c>
      <c r="AU17" s="2">
        <v>22844</v>
      </c>
      <c r="AV17" s="2">
        <v>14758</v>
      </c>
      <c r="AW17" s="1">
        <v>64.599999999999994</v>
      </c>
      <c r="AX17" s="2">
        <v>22759</v>
      </c>
      <c r="AY17" s="2">
        <v>14597</v>
      </c>
      <c r="AZ17" s="6">
        <v>64.099999999999994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4"/>
    </row>
    <row r="18" spans="1:1026">
      <c r="A18" s="1" t="s">
        <v>45</v>
      </c>
      <c r="B18" s="2">
        <v>89632</v>
      </c>
      <c r="C18" s="2">
        <v>51298</v>
      </c>
      <c r="D18" s="1">
        <v>57.2</v>
      </c>
      <c r="E18" s="2">
        <v>89588</v>
      </c>
      <c r="F18" s="2">
        <v>51118</v>
      </c>
      <c r="G18" s="1">
        <v>57.1</v>
      </c>
      <c r="H18" s="2">
        <v>89280</v>
      </c>
      <c r="I18" s="2">
        <v>50830</v>
      </c>
      <c r="J18" s="1">
        <v>56.9</v>
      </c>
      <c r="K18" s="2">
        <v>88077</v>
      </c>
      <c r="L18" s="2">
        <v>50418</v>
      </c>
      <c r="M18" s="1">
        <v>57.2</v>
      </c>
      <c r="N18" s="2">
        <v>88269</v>
      </c>
      <c r="O18" s="2">
        <v>50299</v>
      </c>
      <c r="P18" s="1">
        <v>57</v>
      </c>
      <c r="Q18" s="2">
        <v>88279</v>
      </c>
      <c r="R18" s="2">
        <v>50106</v>
      </c>
      <c r="S18" s="1">
        <v>56.8</v>
      </c>
      <c r="T18" s="2">
        <v>88059</v>
      </c>
      <c r="U18" s="2">
        <v>49879</v>
      </c>
      <c r="V18" s="1">
        <v>56.6</v>
      </c>
      <c r="W18" s="2">
        <v>88280</v>
      </c>
      <c r="X18" s="2">
        <v>49545</v>
      </c>
      <c r="Y18" s="1">
        <v>56.1</v>
      </c>
      <c r="Z18" s="2">
        <v>88479</v>
      </c>
      <c r="AA18" s="2">
        <v>49223</v>
      </c>
      <c r="AB18" s="1">
        <v>55.6</v>
      </c>
      <c r="AC18" s="2">
        <v>88468</v>
      </c>
      <c r="AD18" s="2">
        <v>48829</v>
      </c>
      <c r="AE18" s="1">
        <v>55.2</v>
      </c>
      <c r="AF18" s="2">
        <v>87377</v>
      </c>
      <c r="AG18" s="2">
        <v>48266</v>
      </c>
      <c r="AH18" s="1">
        <v>55.2</v>
      </c>
      <c r="AI18" s="2">
        <v>87377</v>
      </c>
      <c r="AJ18" s="2">
        <v>48266</v>
      </c>
      <c r="AK18" s="1">
        <v>55.2</v>
      </c>
      <c r="AL18" s="2">
        <v>87315</v>
      </c>
      <c r="AM18" s="2">
        <v>47809</v>
      </c>
      <c r="AN18" s="1">
        <v>54.8</v>
      </c>
      <c r="AO18" s="2">
        <v>87036</v>
      </c>
      <c r="AP18" s="2">
        <v>47205</v>
      </c>
      <c r="AQ18" s="1">
        <v>54.2</v>
      </c>
      <c r="AR18" s="2">
        <v>86968</v>
      </c>
      <c r="AS18" s="2">
        <v>46706</v>
      </c>
      <c r="AT18" s="1">
        <v>53.7</v>
      </c>
      <c r="AU18" s="2">
        <v>87116</v>
      </c>
      <c r="AV18" s="2">
        <v>46100</v>
      </c>
      <c r="AW18" s="1">
        <v>52.9</v>
      </c>
      <c r="AX18" s="2">
        <v>87616</v>
      </c>
      <c r="AY18" s="2">
        <v>45501</v>
      </c>
      <c r="AZ18" s="6">
        <v>51.9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4"/>
    </row>
    <row r="19" spans="1:1026">
      <c r="A19" s="1" t="s">
        <v>46</v>
      </c>
      <c r="B19" s="2">
        <v>39017</v>
      </c>
      <c r="C19" s="2">
        <v>21522</v>
      </c>
      <c r="D19" s="1">
        <v>55.2</v>
      </c>
      <c r="E19" s="2">
        <v>39349</v>
      </c>
      <c r="F19" s="2">
        <v>21585</v>
      </c>
      <c r="G19" s="1">
        <v>54.9</v>
      </c>
      <c r="H19" s="2">
        <v>39340</v>
      </c>
      <c r="I19" s="2">
        <v>21633</v>
      </c>
      <c r="J19" s="1">
        <v>55</v>
      </c>
      <c r="K19" s="2">
        <v>38961</v>
      </c>
      <c r="L19" s="2">
        <v>21521</v>
      </c>
      <c r="M19" s="1">
        <v>55.2</v>
      </c>
      <c r="N19" s="2">
        <v>38959</v>
      </c>
      <c r="O19" s="2">
        <v>21464</v>
      </c>
      <c r="P19" s="1">
        <v>55.1</v>
      </c>
      <c r="Q19" s="2">
        <v>38844</v>
      </c>
      <c r="R19" s="2">
        <v>21422</v>
      </c>
      <c r="S19" s="1">
        <v>55.1</v>
      </c>
      <c r="T19" s="2">
        <v>38929</v>
      </c>
      <c r="U19" s="2">
        <v>21397</v>
      </c>
      <c r="V19" s="1">
        <v>55</v>
      </c>
      <c r="W19" s="2">
        <v>38988</v>
      </c>
      <c r="X19" s="2">
        <v>21317</v>
      </c>
      <c r="Y19" s="1">
        <v>54.7</v>
      </c>
      <c r="Z19" s="2">
        <v>38946</v>
      </c>
      <c r="AA19" s="2">
        <v>21181</v>
      </c>
      <c r="AB19" s="1">
        <v>54.4</v>
      </c>
      <c r="AC19" s="2">
        <v>38999</v>
      </c>
      <c r="AD19" s="2">
        <v>21099</v>
      </c>
      <c r="AE19" s="1">
        <v>54.1</v>
      </c>
      <c r="AF19" s="2">
        <v>38946</v>
      </c>
      <c r="AG19" s="2">
        <v>21024</v>
      </c>
      <c r="AH19" s="1">
        <v>54</v>
      </c>
      <c r="AI19" s="2">
        <v>38946</v>
      </c>
      <c r="AJ19" s="2">
        <v>21024</v>
      </c>
      <c r="AK19" s="1">
        <v>54</v>
      </c>
      <c r="AL19" s="2">
        <v>38992</v>
      </c>
      <c r="AM19" s="2">
        <v>20952</v>
      </c>
      <c r="AN19" s="1">
        <v>53.7</v>
      </c>
      <c r="AO19" s="2">
        <v>38903</v>
      </c>
      <c r="AP19" s="2">
        <v>20833</v>
      </c>
      <c r="AQ19" s="1">
        <v>53.6</v>
      </c>
      <c r="AR19" s="2">
        <v>39012</v>
      </c>
      <c r="AS19" s="2">
        <v>20793</v>
      </c>
      <c r="AT19" s="1">
        <v>53.3</v>
      </c>
      <c r="AU19" s="2">
        <v>39224</v>
      </c>
      <c r="AV19" s="2">
        <v>20734</v>
      </c>
      <c r="AW19" s="1">
        <v>52.9</v>
      </c>
      <c r="AX19" s="2">
        <v>39250</v>
      </c>
      <c r="AY19" s="2">
        <v>20596</v>
      </c>
      <c r="AZ19" s="6">
        <v>52.5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4"/>
    </row>
    <row r="20" spans="1:1026">
      <c r="A20" s="1" t="s">
        <v>47</v>
      </c>
      <c r="B20" s="2">
        <v>28763</v>
      </c>
      <c r="C20" s="2">
        <v>15644</v>
      </c>
      <c r="D20" s="1">
        <v>54.4</v>
      </c>
      <c r="E20" s="2">
        <v>29023</v>
      </c>
      <c r="F20" s="2">
        <v>15624</v>
      </c>
      <c r="G20" s="1">
        <v>53.8</v>
      </c>
      <c r="H20" s="2">
        <v>28936</v>
      </c>
      <c r="I20" s="2">
        <v>15465</v>
      </c>
      <c r="J20" s="1">
        <v>53.4</v>
      </c>
      <c r="K20" s="2">
        <v>28369</v>
      </c>
      <c r="L20" s="2">
        <v>15353</v>
      </c>
      <c r="M20" s="1">
        <v>54.1</v>
      </c>
      <c r="N20" s="2">
        <v>28486</v>
      </c>
      <c r="O20" s="2">
        <v>15295</v>
      </c>
      <c r="P20" s="1">
        <v>53.7</v>
      </c>
      <c r="Q20" s="2">
        <v>28326</v>
      </c>
      <c r="R20" s="2">
        <v>15164</v>
      </c>
      <c r="S20" s="1">
        <v>53.5</v>
      </c>
      <c r="T20" s="2">
        <v>28249</v>
      </c>
      <c r="U20" s="2">
        <v>15047</v>
      </c>
      <c r="V20" s="1">
        <v>53.3</v>
      </c>
      <c r="W20" s="2">
        <v>28393</v>
      </c>
      <c r="X20" s="2">
        <v>14926</v>
      </c>
      <c r="Y20" s="1">
        <v>52.6</v>
      </c>
      <c r="Z20" s="2">
        <v>28517</v>
      </c>
      <c r="AA20" s="2">
        <v>14818</v>
      </c>
      <c r="AB20" s="1">
        <v>52</v>
      </c>
      <c r="AC20" s="2">
        <v>28420</v>
      </c>
      <c r="AD20" s="2">
        <v>14586</v>
      </c>
      <c r="AE20" s="1">
        <v>51.3</v>
      </c>
      <c r="AF20" s="2">
        <v>28167</v>
      </c>
      <c r="AG20" s="2">
        <v>14433</v>
      </c>
      <c r="AH20" s="1">
        <v>51.2</v>
      </c>
      <c r="AI20" s="2">
        <v>28167</v>
      </c>
      <c r="AJ20" s="2">
        <v>14433</v>
      </c>
      <c r="AK20" s="1">
        <v>51.2</v>
      </c>
      <c r="AL20" s="2">
        <v>28242</v>
      </c>
      <c r="AM20" s="2">
        <v>14242</v>
      </c>
      <c r="AN20" s="1">
        <v>50.4</v>
      </c>
      <c r="AO20" s="2">
        <v>28197</v>
      </c>
      <c r="AP20" s="2">
        <v>14035</v>
      </c>
      <c r="AQ20" s="1">
        <v>49.8</v>
      </c>
      <c r="AR20" s="2">
        <v>28185</v>
      </c>
      <c r="AS20" s="2">
        <v>13880</v>
      </c>
      <c r="AT20" s="1">
        <v>49.2</v>
      </c>
      <c r="AU20" s="2">
        <v>28181</v>
      </c>
      <c r="AV20" s="2">
        <v>13674</v>
      </c>
      <c r="AW20" s="1">
        <v>48.5</v>
      </c>
      <c r="AX20" s="2">
        <v>28506</v>
      </c>
      <c r="AY20" s="2">
        <v>13488</v>
      </c>
      <c r="AZ20" s="6">
        <v>47.3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4"/>
    </row>
    <row r="21" spans="1:1026">
      <c r="A21" s="1" t="s">
        <v>48</v>
      </c>
      <c r="B21" s="1">
        <v>59621</v>
      </c>
      <c r="C21" s="1">
        <v>41332</v>
      </c>
      <c r="D21" s="1">
        <v>69.3</v>
      </c>
      <c r="E21" s="1">
        <v>58991</v>
      </c>
      <c r="F21" s="1">
        <v>40640</v>
      </c>
      <c r="G21" s="1">
        <v>68.900000000000006</v>
      </c>
      <c r="H21" s="1">
        <v>58215</v>
      </c>
      <c r="I21" s="1">
        <v>39880</v>
      </c>
      <c r="J21" s="1">
        <v>68.5</v>
      </c>
      <c r="K21" s="2">
        <v>56683</v>
      </c>
      <c r="L21" s="2">
        <v>39035</v>
      </c>
      <c r="M21" s="1">
        <v>68.900000000000006</v>
      </c>
      <c r="N21" s="2">
        <v>56311</v>
      </c>
      <c r="O21" s="2">
        <v>38526</v>
      </c>
      <c r="P21" s="1">
        <v>68.400000000000006</v>
      </c>
      <c r="Q21" s="2">
        <v>55589</v>
      </c>
      <c r="R21" s="2">
        <v>37881</v>
      </c>
      <c r="S21" s="1">
        <v>68.099999999999994</v>
      </c>
      <c r="T21" s="2">
        <v>54705</v>
      </c>
      <c r="U21" s="2">
        <v>37112</v>
      </c>
      <c r="V21" s="1">
        <v>67.8</v>
      </c>
      <c r="W21" s="2">
        <v>53799</v>
      </c>
      <c r="X21" s="2">
        <v>36290</v>
      </c>
      <c r="Y21" s="1">
        <v>67.5</v>
      </c>
      <c r="Z21" s="2">
        <v>52996</v>
      </c>
      <c r="AA21" s="2">
        <v>35595</v>
      </c>
      <c r="AB21" s="1">
        <v>67.2</v>
      </c>
      <c r="AC21" s="2">
        <v>52143</v>
      </c>
      <c r="AD21" s="2">
        <v>34771</v>
      </c>
      <c r="AE21" s="1">
        <v>66.7</v>
      </c>
      <c r="AF21" s="2">
        <v>51208</v>
      </c>
      <c r="AG21" s="2">
        <v>34025</v>
      </c>
      <c r="AH21" s="1">
        <v>66.400000000000006</v>
      </c>
      <c r="AI21" s="2">
        <v>51208</v>
      </c>
      <c r="AJ21" s="2">
        <v>34025</v>
      </c>
      <c r="AK21" s="1">
        <v>66.400000000000006</v>
      </c>
      <c r="AL21" s="2">
        <v>50434</v>
      </c>
      <c r="AM21" s="2">
        <v>33237</v>
      </c>
      <c r="AN21" s="1">
        <v>65.900000000000006</v>
      </c>
      <c r="AO21" s="2">
        <v>49665</v>
      </c>
      <c r="AP21" s="2">
        <v>32436</v>
      </c>
      <c r="AQ21" s="1">
        <v>65.3</v>
      </c>
      <c r="AR21" s="2">
        <v>49129</v>
      </c>
      <c r="AS21" s="2">
        <v>31762</v>
      </c>
      <c r="AT21" s="1">
        <v>64.7</v>
      </c>
      <c r="AU21" s="2">
        <v>48489</v>
      </c>
      <c r="AV21" s="2">
        <v>31055</v>
      </c>
      <c r="AW21" s="1">
        <v>64</v>
      </c>
      <c r="AX21" s="2">
        <v>47625</v>
      </c>
      <c r="AY21" s="2">
        <v>30342</v>
      </c>
      <c r="AZ21" s="6">
        <v>63.7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4"/>
    </row>
    <row r="22" spans="1:1026">
      <c r="A22" s="1" t="s">
        <v>49</v>
      </c>
      <c r="B22" s="1">
        <v>29933</v>
      </c>
      <c r="C22" s="1">
        <v>23860</v>
      </c>
      <c r="D22" s="1">
        <v>79.7</v>
      </c>
      <c r="E22" s="1">
        <v>29693</v>
      </c>
      <c r="F22" s="1">
        <v>23585</v>
      </c>
      <c r="G22" s="1">
        <v>79.400000000000006</v>
      </c>
      <c r="H22" s="1">
        <v>29418</v>
      </c>
      <c r="I22" s="1">
        <v>23364</v>
      </c>
      <c r="J22" s="1">
        <v>79.400000000000006</v>
      </c>
      <c r="K22" s="2">
        <v>29054</v>
      </c>
      <c r="L22" s="2">
        <v>23159</v>
      </c>
      <c r="M22" s="1">
        <v>79.7</v>
      </c>
      <c r="N22" s="2">
        <v>28792</v>
      </c>
      <c r="O22" s="2">
        <v>22914</v>
      </c>
      <c r="P22" s="1">
        <v>79.599999999999994</v>
      </c>
      <c r="Q22" s="2">
        <v>28514</v>
      </c>
      <c r="R22" s="2">
        <v>22698</v>
      </c>
      <c r="S22" s="1">
        <v>79.599999999999994</v>
      </c>
      <c r="T22" s="2">
        <v>28197</v>
      </c>
      <c r="U22" s="2">
        <v>22396</v>
      </c>
      <c r="V22" s="1">
        <v>79.400000000000006</v>
      </c>
      <c r="W22" s="2">
        <v>27983</v>
      </c>
      <c r="X22" s="2">
        <v>22164</v>
      </c>
      <c r="Y22" s="1">
        <v>79.2</v>
      </c>
      <c r="Z22" s="2">
        <v>27730</v>
      </c>
      <c r="AA22" s="2">
        <v>21925</v>
      </c>
      <c r="AB22" s="1">
        <v>79.099999999999994</v>
      </c>
      <c r="AC22" s="2">
        <v>27578</v>
      </c>
      <c r="AD22" s="2">
        <v>21743</v>
      </c>
      <c r="AE22" s="1">
        <v>78.8</v>
      </c>
      <c r="AF22" s="2">
        <v>27179</v>
      </c>
      <c r="AG22" s="2">
        <v>21392</v>
      </c>
      <c r="AH22" s="1">
        <v>78.7</v>
      </c>
      <c r="AI22" s="2">
        <v>27179</v>
      </c>
      <c r="AJ22" s="2">
        <v>21392</v>
      </c>
      <c r="AK22" s="1">
        <v>78.7</v>
      </c>
      <c r="AL22" s="2">
        <v>26795</v>
      </c>
      <c r="AM22" s="2">
        <v>21033</v>
      </c>
      <c r="AN22" s="1">
        <v>78.5</v>
      </c>
      <c r="AO22" s="2">
        <v>26530</v>
      </c>
      <c r="AP22" s="2">
        <v>20753</v>
      </c>
      <c r="AQ22" s="1">
        <v>78.2</v>
      </c>
      <c r="AR22" s="2">
        <v>26264</v>
      </c>
      <c r="AS22" s="2">
        <v>20458</v>
      </c>
      <c r="AT22" s="1">
        <v>77.900000000000006</v>
      </c>
      <c r="AU22" s="2">
        <v>25947</v>
      </c>
      <c r="AV22" s="2">
        <v>20131</v>
      </c>
      <c r="AW22" s="1">
        <v>77.599999999999994</v>
      </c>
      <c r="AX22" s="2">
        <v>25538</v>
      </c>
      <c r="AY22" s="2">
        <v>19799</v>
      </c>
      <c r="AZ22" s="6">
        <v>77.5</v>
      </c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4"/>
    </row>
    <row r="23" spans="1:1026">
      <c r="A23" s="1" t="s">
        <v>50</v>
      </c>
      <c r="B23" s="1">
        <v>181330</v>
      </c>
      <c r="C23" s="1">
        <v>104434</v>
      </c>
      <c r="D23" s="1">
        <v>57.6</v>
      </c>
      <c r="E23" s="1">
        <v>181905</v>
      </c>
      <c r="F23" s="1">
        <v>104225</v>
      </c>
      <c r="G23" s="1">
        <v>57.3</v>
      </c>
      <c r="H23" s="1">
        <v>181494</v>
      </c>
      <c r="I23" s="1">
        <v>103829</v>
      </c>
      <c r="J23" s="1">
        <v>57.2</v>
      </c>
      <c r="K23" s="2">
        <v>179149</v>
      </c>
      <c r="L23" s="2">
        <v>103153</v>
      </c>
      <c r="M23" s="1">
        <v>57.6</v>
      </c>
      <c r="N23" s="2">
        <v>179476</v>
      </c>
      <c r="O23" s="2">
        <v>102874</v>
      </c>
      <c r="P23" s="1">
        <v>57.3</v>
      </c>
      <c r="Q23" s="2">
        <v>179249</v>
      </c>
      <c r="R23" s="2">
        <v>102511</v>
      </c>
      <c r="S23" s="1">
        <v>57.2</v>
      </c>
      <c r="T23" s="2">
        <v>179003</v>
      </c>
      <c r="U23" s="2">
        <v>102054</v>
      </c>
      <c r="V23" s="1">
        <v>57</v>
      </c>
      <c r="W23" s="2">
        <v>179539</v>
      </c>
      <c r="X23" s="2">
        <v>101483</v>
      </c>
      <c r="Y23" s="1">
        <v>56.5</v>
      </c>
      <c r="Z23" s="2">
        <v>179794</v>
      </c>
      <c r="AA23" s="2">
        <v>100827</v>
      </c>
      <c r="AB23" s="1">
        <v>56.1</v>
      </c>
      <c r="AC23" s="2">
        <v>179576</v>
      </c>
      <c r="AD23" s="2">
        <v>99993</v>
      </c>
      <c r="AE23" s="1">
        <v>55.7</v>
      </c>
      <c r="AF23" s="2">
        <v>177759</v>
      </c>
      <c r="AG23" s="2">
        <v>99010</v>
      </c>
      <c r="AH23" s="1">
        <v>55.7</v>
      </c>
      <c r="AI23" s="2">
        <v>177759</v>
      </c>
      <c r="AJ23" s="2">
        <v>99010</v>
      </c>
      <c r="AK23" s="1">
        <v>55.7</v>
      </c>
      <c r="AL23" s="2">
        <v>177621</v>
      </c>
      <c r="AM23" s="2">
        <v>98150</v>
      </c>
      <c r="AN23" s="1">
        <v>55.3</v>
      </c>
      <c r="AO23" s="2">
        <v>176979</v>
      </c>
      <c r="AP23" s="2">
        <v>97055</v>
      </c>
      <c r="AQ23" s="1">
        <v>54.8</v>
      </c>
      <c r="AR23" s="2">
        <v>176947</v>
      </c>
      <c r="AS23" s="2">
        <v>96277</v>
      </c>
      <c r="AT23" s="1">
        <v>54.4</v>
      </c>
      <c r="AU23" s="2">
        <v>177365</v>
      </c>
      <c r="AV23" s="2">
        <v>95266</v>
      </c>
      <c r="AW23" s="1">
        <v>53.7</v>
      </c>
      <c r="AX23" s="2">
        <v>178131</v>
      </c>
      <c r="AY23" s="2">
        <v>94182</v>
      </c>
      <c r="AZ23" s="6">
        <v>52.9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4"/>
    </row>
    <row r="24" spans="1:1026" ht="15" customHeight="1">
      <c r="A24" s="1" t="s">
        <v>51</v>
      </c>
      <c r="B24" s="2">
        <v>270884</v>
      </c>
      <c r="C24" s="2">
        <v>169626</v>
      </c>
      <c r="D24" s="1">
        <v>62.6</v>
      </c>
      <c r="E24" s="2">
        <v>270589</v>
      </c>
      <c r="F24" s="2">
        <v>168450</v>
      </c>
      <c r="G24" s="1">
        <v>62.3</v>
      </c>
      <c r="H24" s="2">
        <v>269127</v>
      </c>
      <c r="I24" s="2">
        <v>167073</v>
      </c>
      <c r="J24" s="1">
        <v>62.1</v>
      </c>
      <c r="K24" s="2">
        <v>264886</v>
      </c>
      <c r="L24" s="2">
        <v>165347</v>
      </c>
      <c r="M24" s="1">
        <v>62.4</v>
      </c>
      <c r="N24" s="2">
        <v>264579</v>
      </c>
      <c r="O24" s="2">
        <v>164314</v>
      </c>
      <c r="P24" s="1">
        <v>62.1</v>
      </c>
      <c r="Q24" s="2">
        <v>263352</v>
      </c>
      <c r="R24" s="2">
        <v>163090</v>
      </c>
      <c r="S24" s="1">
        <v>61.9</v>
      </c>
      <c r="T24" s="2">
        <v>261905</v>
      </c>
      <c r="U24" s="2">
        <v>161562</v>
      </c>
      <c r="V24" s="1">
        <v>61.7</v>
      </c>
      <c r="W24" s="2">
        <v>261321</v>
      </c>
      <c r="X24" s="2">
        <v>159937</v>
      </c>
      <c r="Y24" s="1">
        <v>61.2</v>
      </c>
      <c r="Z24" s="2">
        <v>260520</v>
      </c>
      <c r="AA24" s="2">
        <v>158347</v>
      </c>
      <c r="AB24" s="1">
        <v>60.8</v>
      </c>
      <c r="AC24" s="2">
        <v>259297</v>
      </c>
      <c r="AD24" s="2">
        <v>156507</v>
      </c>
      <c r="AE24" s="1">
        <v>60.4</v>
      </c>
      <c r="AF24" s="2">
        <v>256146</v>
      </c>
      <c r="AG24" s="2">
        <v>154427</v>
      </c>
      <c r="AH24" s="1">
        <v>60.3</v>
      </c>
      <c r="AI24" s="2">
        <v>256146</v>
      </c>
      <c r="AJ24" s="2">
        <v>154427</v>
      </c>
      <c r="AK24" s="1">
        <v>60.3</v>
      </c>
      <c r="AL24" s="2">
        <v>254850</v>
      </c>
      <c r="AM24" s="2">
        <v>152420</v>
      </c>
      <c r="AN24" s="1">
        <v>59.8</v>
      </c>
      <c r="AO24" s="2">
        <v>253174</v>
      </c>
      <c r="AP24" s="2">
        <v>150244</v>
      </c>
      <c r="AQ24" s="1">
        <v>59.3</v>
      </c>
      <c r="AR24" s="2">
        <v>252340</v>
      </c>
      <c r="AS24" s="2">
        <v>148497</v>
      </c>
      <c r="AT24" s="1">
        <v>58.8</v>
      </c>
      <c r="AU24" s="2">
        <v>251801</v>
      </c>
      <c r="AV24" s="2">
        <v>146452</v>
      </c>
      <c r="AW24" s="1">
        <v>58.2</v>
      </c>
      <c r="AX24" s="2">
        <v>251294</v>
      </c>
      <c r="AY24" s="2">
        <v>144323</v>
      </c>
      <c r="AZ24" s="6">
        <v>57.4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3674-5CCC-4D98-B585-A923E598D82A}">
  <dimension ref="A1:IP24"/>
  <sheetViews>
    <sheetView workbookViewId="0">
      <selection activeCell="B11" sqref="B11"/>
    </sheetView>
  </sheetViews>
  <sheetFormatPr defaultRowHeight="15"/>
  <cols>
    <col min="1" max="1" width="30.140625" bestFit="1" customWidth="1"/>
    <col min="2" max="2" width="26.5703125" bestFit="1" customWidth="1"/>
    <col min="3" max="3" width="13.85546875" bestFit="1" customWidth="1"/>
    <col min="4" max="4" width="14" bestFit="1" customWidth="1"/>
    <col min="5" max="5" width="10" bestFit="1" customWidth="1"/>
    <col min="6" max="6" width="11.5703125" bestFit="1" customWidth="1"/>
    <col min="7" max="7" width="10.42578125" bestFit="1" customWidth="1"/>
  </cols>
  <sheetData>
    <row r="1" spans="1:250">
      <c r="A1" s="1" t="s">
        <v>0</v>
      </c>
      <c r="B1" s="1" t="s">
        <v>72</v>
      </c>
      <c r="C1" s="1" t="s">
        <v>73</v>
      </c>
      <c r="D1" s="6" t="s">
        <v>74</v>
      </c>
      <c r="E1" s="1" t="s">
        <v>75</v>
      </c>
      <c r="F1" s="1" t="s">
        <v>76</v>
      </c>
      <c r="G1" s="6" t="s">
        <v>77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4"/>
    </row>
    <row r="2" spans="1:250">
      <c r="A2" s="1" t="s">
        <v>30</v>
      </c>
      <c r="B2" s="1">
        <v>448.34269999999998</v>
      </c>
      <c r="C2" s="1">
        <v>4.4833999999999996</v>
      </c>
      <c r="D2" s="2">
        <v>4483427</v>
      </c>
      <c r="E2" s="2">
        <v>28512</v>
      </c>
      <c r="F2" s="2">
        <v>6359</v>
      </c>
      <c r="G2" s="6">
        <v>157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4"/>
    </row>
    <row r="3" spans="1:250">
      <c r="A3" s="1" t="s">
        <v>31</v>
      </c>
      <c r="B3" s="1">
        <v>349.62040000000002</v>
      </c>
      <c r="C3" s="1">
        <v>3.4962</v>
      </c>
      <c r="D3" s="2">
        <v>3496204</v>
      </c>
      <c r="E3" s="2">
        <v>19113</v>
      </c>
      <c r="F3" s="2">
        <v>5467</v>
      </c>
      <c r="G3" s="6">
        <v>183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4"/>
    </row>
    <row r="4" spans="1:250">
      <c r="A4" s="1" t="s">
        <v>32</v>
      </c>
      <c r="B4" s="1">
        <v>762.83540000000005</v>
      </c>
      <c r="C4" s="1">
        <v>7.6284000000000001</v>
      </c>
      <c r="D4" s="2">
        <v>7628354</v>
      </c>
      <c r="E4" s="2">
        <v>15346</v>
      </c>
      <c r="F4" s="2">
        <v>2012</v>
      </c>
      <c r="G4" s="6">
        <v>497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4"/>
    </row>
    <row r="5" spans="1:250">
      <c r="A5" s="1" t="s">
        <v>33</v>
      </c>
      <c r="B5" s="1">
        <v>228.6122</v>
      </c>
      <c r="C5" s="1">
        <v>2.2860999999999998</v>
      </c>
      <c r="D5" s="2">
        <v>2286122</v>
      </c>
      <c r="E5" s="2">
        <v>3337</v>
      </c>
      <c r="F5" s="2">
        <v>1460</v>
      </c>
      <c r="G5" s="6">
        <v>685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4"/>
    </row>
    <row r="6" spans="1:250">
      <c r="A6" s="1" t="s">
        <v>34</v>
      </c>
      <c r="B6" s="1">
        <v>611.35440000000006</v>
      </c>
      <c r="C6" s="1">
        <v>6.1135000000000002</v>
      </c>
      <c r="D6" s="2">
        <v>6113544</v>
      </c>
      <c r="E6" s="2">
        <v>4545</v>
      </c>
      <c r="F6" s="1">
        <v>743</v>
      </c>
      <c r="G6" s="5">
        <v>1345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4"/>
    </row>
    <row r="7" spans="1:250">
      <c r="A7" s="1" t="s">
        <v>35</v>
      </c>
      <c r="B7" s="1">
        <v>279.5926</v>
      </c>
      <c r="C7" s="1">
        <v>2.7959000000000001</v>
      </c>
      <c r="D7" s="2">
        <v>2795926</v>
      </c>
      <c r="E7" s="2">
        <v>2310</v>
      </c>
      <c r="F7" s="1">
        <v>826</v>
      </c>
      <c r="G7" s="5">
        <v>1210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4"/>
    </row>
    <row r="8" spans="1:250">
      <c r="A8" s="1" t="s">
        <v>36</v>
      </c>
      <c r="B8" s="7">
        <v>4460.4692999999997</v>
      </c>
      <c r="C8" s="1">
        <v>44.604700000000001</v>
      </c>
      <c r="D8" s="2">
        <v>44604693</v>
      </c>
      <c r="E8" s="2">
        <v>22759</v>
      </c>
      <c r="F8" s="1">
        <v>510</v>
      </c>
      <c r="G8" s="5">
        <v>1960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4"/>
    </row>
    <row r="9" spans="1:250">
      <c r="A9" s="1" t="s">
        <v>37</v>
      </c>
      <c r="B9" s="1">
        <v>997.32360000000006</v>
      </c>
      <c r="C9" s="1">
        <v>9.9732000000000003</v>
      </c>
      <c r="D9" s="2">
        <v>9973236</v>
      </c>
      <c r="E9" s="2">
        <v>36877</v>
      </c>
      <c r="F9" s="2">
        <v>3698</v>
      </c>
      <c r="G9" s="6">
        <v>270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4"/>
    </row>
    <row r="10" spans="1:250">
      <c r="A10" s="1" t="s">
        <v>38</v>
      </c>
      <c r="B10" s="7">
        <v>1425.4647</v>
      </c>
      <c r="C10" s="1">
        <v>14.2546</v>
      </c>
      <c r="D10" s="2">
        <v>14254647</v>
      </c>
      <c r="E10" s="2">
        <v>50739</v>
      </c>
      <c r="F10" s="2">
        <v>3559</v>
      </c>
      <c r="G10" s="6">
        <v>281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4"/>
    </row>
    <row r="11" spans="1:250">
      <c r="A11" s="1" t="s">
        <v>39</v>
      </c>
      <c r="B11" s="7">
        <v>1532.7218</v>
      </c>
      <c r="C11" s="1">
        <v>15.327199999999999</v>
      </c>
      <c r="D11" s="2">
        <v>15327218</v>
      </c>
      <c r="E11" s="2">
        <v>15347</v>
      </c>
      <c r="F11" s="2">
        <v>1001</v>
      </c>
      <c r="G11" s="6">
        <v>999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4"/>
    </row>
    <row r="12" spans="1:250">
      <c r="A12" s="1" t="s">
        <v>40</v>
      </c>
      <c r="B12" s="7">
        <v>1078.0728999999999</v>
      </c>
      <c r="C12" s="1">
        <v>10.7807</v>
      </c>
      <c r="D12" s="2">
        <v>10780729</v>
      </c>
      <c r="E12" s="2">
        <v>23903</v>
      </c>
      <c r="F12" s="2">
        <v>2217</v>
      </c>
      <c r="G12" s="6">
        <v>451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4"/>
    </row>
    <row r="13" spans="1:250">
      <c r="A13" s="1" t="s">
        <v>41</v>
      </c>
      <c r="B13" s="7">
        <v>3510.3517000000002</v>
      </c>
      <c r="C13" s="1">
        <v>35.103499999999997</v>
      </c>
      <c r="D13" s="2">
        <v>35103517</v>
      </c>
      <c r="E13" s="2">
        <v>28506</v>
      </c>
      <c r="F13" s="1">
        <v>812</v>
      </c>
      <c r="G13" s="5">
        <v>1231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4"/>
    </row>
    <row r="14" spans="1:250">
      <c r="A14" s="1" t="s">
        <v>42</v>
      </c>
      <c r="B14" s="7">
        <v>1688.9101000000001</v>
      </c>
      <c r="C14" s="1">
        <v>16.889099999999999</v>
      </c>
      <c r="D14" s="2">
        <v>16889101</v>
      </c>
      <c r="E14" s="2">
        <v>54480</v>
      </c>
      <c r="F14" s="2">
        <v>3226</v>
      </c>
      <c r="G14" s="6">
        <v>310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4"/>
    </row>
    <row r="15" spans="1:250">
      <c r="A15" s="1" t="s">
        <v>43</v>
      </c>
      <c r="B15" s="1">
        <v>991.44759999999997</v>
      </c>
      <c r="C15" s="1">
        <v>9.9145000000000003</v>
      </c>
      <c r="D15" s="2">
        <v>9914476</v>
      </c>
      <c r="E15" s="2">
        <v>18683</v>
      </c>
      <c r="F15" s="2">
        <v>1884</v>
      </c>
      <c r="G15" s="6">
        <v>531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4"/>
    </row>
    <row r="16" spans="1:250">
      <c r="A16" s="1" t="s">
        <v>44</v>
      </c>
      <c r="B16" s="7">
        <v>4460.4692999999997</v>
      </c>
      <c r="C16" s="1">
        <v>44.604700000000001</v>
      </c>
      <c r="D16" s="2">
        <v>44604693</v>
      </c>
      <c r="E16" s="2">
        <v>22759</v>
      </c>
      <c r="F16" s="1">
        <v>510</v>
      </c>
      <c r="G16" s="5">
        <v>1960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4"/>
    </row>
    <row r="17" spans="1:250">
      <c r="A17" s="1" t="s">
        <v>45</v>
      </c>
      <c r="B17" s="7">
        <v>2422.7883000000002</v>
      </c>
      <c r="C17" s="1">
        <v>24.227900000000002</v>
      </c>
      <c r="D17" s="2">
        <v>24227883</v>
      </c>
      <c r="E17" s="2">
        <v>87616</v>
      </c>
      <c r="F17" s="2">
        <v>3616</v>
      </c>
      <c r="G17" s="6">
        <v>277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4"/>
    </row>
    <row r="18" spans="1:250">
      <c r="A18" s="1" t="s">
        <v>46</v>
      </c>
      <c r="B18" s="7">
        <v>2610.7946999999999</v>
      </c>
      <c r="C18" s="1">
        <v>26.107900000000001</v>
      </c>
      <c r="D18" s="2">
        <v>26107947</v>
      </c>
      <c r="E18" s="2">
        <v>39250</v>
      </c>
      <c r="F18" s="2">
        <v>1503</v>
      </c>
      <c r="G18" s="6">
        <v>665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4"/>
    </row>
    <row r="19" spans="1:250">
      <c r="A19" s="1" t="s">
        <v>47</v>
      </c>
      <c r="B19" s="7">
        <v>3510.3517000000002</v>
      </c>
      <c r="C19" s="1">
        <v>35.103499999999997</v>
      </c>
      <c r="D19" s="2">
        <v>35103517</v>
      </c>
      <c r="E19" s="2">
        <v>28506</v>
      </c>
      <c r="F19" s="1">
        <v>812</v>
      </c>
      <c r="G19" s="5">
        <v>1231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4"/>
    </row>
    <row r="20" spans="1:250">
      <c r="A20" s="1" t="s">
        <v>48</v>
      </c>
      <c r="B20" s="1">
        <v>797.96310000000005</v>
      </c>
      <c r="C20" s="1">
        <v>7.9795999999999996</v>
      </c>
      <c r="D20" s="2">
        <v>7979631</v>
      </c>
      <c r="E20" s="2">
        <v>47625</v>
      </c>
      <c r="F20" s="2">
        <v>5968</v>
      </c>
      <c r="G20" s="6">
        <v>168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4"/>
    </row>
    <row r="21" spans="1:250">
      <c r="A21" s="1" t="s">
        <v>49</v>
      </c>
      <c r="B21" s="7">
        <v>1882.3946000000001</v>
      </c>
      <c r="C21" s="1">
        <v>18.823899999999998</v>
      </c>
      <c r="D21" s="2">
        <v>18823946</v>
      </c>
      <c r="E21" s="2">
        <v>25538</v>
      </c>
      <c r="F21" s="2">
        <v>1357</v>
      </c>
      <c r="G21" s="6">
        <v>737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4"/>
    </row>
    <row r="22" spans="1:250">
      <c r="A22" s="1" t="s">
        <v>50</v>
      </c>
      <c r="B22" s="7">
        <v>13004.404</v>
      </c>
      <c r="C22" s="1">
        <v>130.04400000000001</v>
      </c>
      <c r="D22" s="2">
        <v>130044040</v>
      </c>
      <c r="E22" s="2">
        <v>178131</v>
      </c>
      <c r="F22" s="2">
        <v>1370</v>
      </c>
      <c r="G22" s="6">
        <v>730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4"/>
    </row>
    <row r="23" spans="1:250" ht="15" customHeight="1">
      <c r="A23" s="1" t="s">
        <v>51</v>
      </c>
      <c r="B23" s="7">
        <v>15684.761699999999</v>
      </c>
      <c r="C23" s="1">
        <v>156.8476</v>
      </c>
      <c r="D23" s="2">
        <v>156847617</v>
      </c>
      <c r="E23" s="2">
        <v>251294</v>
      </c>
      <c r="F23" s="2">
        <v>1602</v>
      </c>
      <c r="G23" s="6">
        <v>624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4"/>
    </row>
    <row r="24" spans="1:250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2"/>
    </row>
  </sheetData>
  <mergeCells count="1">
    <mergeCell ref="A24:IP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0EAC-5F9C-4937-8AB9-30EFAF296C73}">
  <dimension ref="A1:H23"/>
  <sheetViews>
    <sheetView workbookViewId="0">
      <selection activeCell="B12" sqref="B12"/>
    </sheetView>
  </sheetViews>
  <sheetFormatPr defaultRowHeight="15"/>
  <cols>
    <col min="1" max="1" width="21.7109375" customWidth="1"/>
    <col min="2" max="2" width="31" bestFit="1" customWidth="1"/>
    <col min="3" max="3" width="11.7109375" bestFit="1" customWidth="1"/>
    <col min="4" max="4" width="13.5703125" bestFit="1" customWidth="1"/>
    <col min="5" max="5" width="12.140625" bestFit="1" customWidth="1"/>
    <col min="6" max="6" width="34.5703125" bestFit="1" customWidth="1"/>
    <col min="7" max="7" width="19.7109375" customWidth="1"/>
    <col min="8" max="8" width="16.7109375" customWidth="1"/>
  </cols>
  <sheetData>
    <row r="1" spans="1:8">
      <c r="A1" s="8" t="s">
        <v>78</v>
      </c>
      <c r="B1" s="8" t="s">
        <v>79</v>
      </c>
      <c r="C1" s="9" t="s">
        <v>75</v>
      </c>
      <c r="D1" s="9" t="s">
        <v>76</v>
      </c>
      <c r="E1" s="9" t="s">
        <v>77</v>
      </c>
      <c r="F1" s="8" t="s">
        <v>80</v>
      </c>
      <c r="G1" s="10" t="s">
        <v>73</v>
      </c>
      <c r="H1" s="10" t="s">
        <v>81</v>
      </c>
    </row>
    <row r="2" spans="1:8">
      <c r="A2" s="11">
        <v>1</v>
      </c>
      <c r="B2" s="12" t="s">
        <v>30</v>
      </c>
      <c r="C2" s="12">
        <v>448.34269999999998</v>
      </c>
      <c r="D2" s="13">
        <v>4.4834269999999998</v>
      </c>
      <c r="E2" s="14">
        <v>4483427</v>
      </c>
      <c r="F2" s="14">
        <v>28512</v>
      </c>
      <c r="G2" s="14">
        <v>6359.4210410920005</v>
      </c>
      <c r="H2" s="14">
        <v>157.24701879910199</v>
      </c>
    </row>
    <row r="3" spans="1:8">
      <c r="A3" s="11">
        <v>2</v>
      </c>
      <c r="B3" s="12" t="s">
        <v>31</v>
      </c>
      <c r="C3" s="12">
        <v>349.62040000000002</v>
      </c>
      <c r="D3" s="13">
        <v>3.4962040000000001</v>
      </c>
      <c r="E3" s="14">
        <v>3496204</v>
      </c>
      <c r="F3" s="14">
        <v>19113</v>
      </c>
      <c r="G3" s="14">
        <v>5466.7862630441496</v>
      </c>
      <c r="H3" s="14">
        <v>182.92282739496699</v>
      </c>
    </row>
    <row r="4" spans="1:8">
      <c r="A4" s="11">
        <v>3</v>
      </c>
      <c r="B4" s="12" t="s">
        <v>32</v>
      </c>
      <c r="C4" s="12">
        <v>762.83540000000005</v>
      </c>
      <c r="D4" s="13">
        <v>7.6283539999999999</v>
      </c>
      <c r="E4" s="14">
        <v>7628354</v>
      </c>
      <c r="F4" s="14">
        <v>15346</v>
      </c>
      <c r="G4" s="14">
        <v>2011.7052774425499</v>
      </c>
      <c r="H4" s="14">
        <v>497.09070767626702</v>
      </c>
    </row>
    <row r="5" spans="1:8">
      <c r="A5" s="11">
        <v>4</v>
      </c>
      <c r="B5" s="12" t="s">
        <v>33</v>
      </c>
      <c r="C5" s="12">
        <v>228.6122</v>
      </c>
      <c r="D5" s="13">
        <v>2.2861220000000002</v>
      </c>
      <c r="E5" s="14">
        <v>2286122</v>
      </c>
      <c r="F5" s="14">
        <v>3337</v>
      </c>
      <c r="G5" s="14">
        <v>1459.6771300919199</v>
      </c>
      <c r="H5" s="14">
        <v>685.08300869044103</v>
      </c>
    </row>
    <row r="6" spans="1:8">
      <c r="A6" s="11">
        <v>5</v>
      </c>
      <c r="B6" s="12" t="s">
        <v>34</v>
      </c>
      <c r="C6" s="12">
        <v>611.35440000000006</v>
      </c>
      <c r="D6" s="13">
        <v>6.1135440000000001</v>
      </c>
      <c r="E6" s="14">
        <v>6113544</v>
      </c>
      <c r="F6" s="14">
        <v>4545</v>
      </c>
      <c r="G6" s="14">
        <v>743.43130596590095</v>
      </c>
      <c r="H6" s="14">
        <v>1345.1141914191401</v>
      </c>
    </row>
    <row r="7" spans="1:8">
      <c r="A7" s="11">
        <v>6</v>
      </c>
      <c r="B7" s="12" t="s">
        <v>35</v>
      </c>
      <c r="C7" s="12">
        <v>279.5926</v>
      </c>
      <c r="D7" s="13">
        <v>2.7959260000000001</v>
      </c>
      <c r="E7" s="14">
        <v>2795926</v>
      </c>
      <c r="F7" s="14">
        <v>2310</v>
      </c>
      <c r="G7" s="14">
        <v>826.20212409055205</v>
      </c>
      <c r="H7" s="14">
        <v>1210.35757575758</v>
      </c>
    </row>
    <row r="8" spans="1:8">
      <c r="A8" s="11">
        <v>8</v>
      </c>
      <c r="B8" s="12" t="s">
        <v>36</v>
      </c>
      <c r="C8" s="12">
        <v>4460.4692999999997</v>
      </c>
      <c r="D8" s="13">
        <v>44.604692999999997</v>
      </c>
      <c r="E8" s="14">
        <v>44604693</v>
      </c>
      <c r="F8" s="14">
        <v>22759</v>
      </c>
      <c r="G8" s="14">
        <v>510.23779044953898</v>
      </c>
      <c r="H8" s="14">
        <v>1959.8705127641799</v>
      </c>
    </row>
    <row r="9" spans="1:8">
      <c r="A9" s="11">
        <v>9</v>
      </c>
      <c r="B9" s="12" t="s">
        <v>37</v>
      </c>
      <c r="C9" s="12">
        <v>997.32360000000006</v>
      </c>
      <c r="D9" s="13">
        <v>9.973236</v>
      </c>
      <c r="E9" s="14">
        <v>9973236</v>
      </c>
      <c r="F9" s="14">
        <v>36877</v>
      </c>
      <c r="G9" s="14">
        <v>3697.5962465943899</v>
      </c>
      <c r="H9" s="14">
        <v>270.44596903218797</v>
      </c>
    </row>
    <row r="10" spans="1:8">
      <c r="A10" s="11">
        <v>10</v>
      </c>
      <c r="B10" s="12" t="s">
        <v>38</v>
      </c>
      <c r="C10" s="12">
        <v>1425.4647</v>
      </c>
      <c r="D10" s="13">
        <v>14.254647</v>
      </c>
      <c r="E10" s="14">
        <v>14254647</v>
      </c>
      <c r="F10" s="14">
        <v>50739</v>
      </c>
      <c r="G10" s="14">
        <v>3559.4708167799599</v>
      </c>
      <c r="H10" s="14">
        <v>280.94063737953098</v>
      </c>
    </row>
    <row r="11" spans="1:8">
      <c r="A11" s="11">
        <v>11</v>
      </c>
      <c r="B11" s="12" t="s">
        <v>39</v>
      </c>
      <c r="C11" s="12">
        <v>1532.7218</v>
      </c>
      <c r="D11" s="13">
        <v>15.327218</v>
      </c>
      <c r="E11" s="14">
        <v>15327218</v>
      </c>
      <c r="F11" s="14">
        <v>15347</v>
      </c>
      <c r="G11" s="14">
        <v>1001.29064517775</v>
      </c>
      <c r="H11" s="14">
        <v>998.71101844008604</v>
      </c>
    </row>
    <row r="12" spans="1:8">
      <c r="A12" s="11">
        <v>12</v>
      </c>
      <c r="B12" s="12" t="s">
        <v>40</v>
      </c>
      <c r="C12" s="12">
        <v>1078.0728999999999</v>
      </c>
      <c r="D12" s="13">
        <v>10.780728999999999</v>
      </c>
      <c r="E12" s="14">
        <v>10780729</v>
      </c>
      <c r="F12" s="14">
        <v>23903</v>
      </c>
      <c r="G12" s="14">
        <v>2217.1970003141701</v>
      </c>
      <c r="H12" s="14">
        <v>451.01991381834898</v>
      </c>
    </row>
    <row r="13" spans="1:8">
      <c r="A13" s="11">
        <v>13</v>
      </c>
      <c r="B13" s="12" t="s">
        <v>41</v>
      </c>
      <c r="C13" s="12">
        <v>3510.3517000000002</v>
      </c>
      <c r="D13" s="13">
        <v>35.103516999999997</v>
      </c>
      <c r="E13" s="14">
        <v>35103517</v>
      </c>
      <c r="F13" s="14">
        <v>28506</v>
      </c>
      <c r="G13" s="14">
        <v>812.05538464992003</v>
      </c>
      <c r="H13" s="14">
        <v>1231.4430996983101</v>
      </c>
    </row>
    <row r="14" spans="1:8">
      <c r="A14" s="15" t="s">
        <v>82</v>
      </c>
      <c r="B14" s="12" t="s">
        <v>42</v>
      </c>
      <c r="C14" s="12">
        <v>1688.9101000000001</v>
      </c>
      <c r="D14" s="13">
        <v>16.889101</v>
      </c>
      <c r="E14" s="14">
        <v>16889101</v>
      </c>
      <c r="F14" s="14">
        <f>F2+F3+F6+F7</f>
        <v>54480</v>
      </c>
      <c r="G14" s="14">
        <v>3225.7489608239098</v>
      </c>
      <c r="H14" s="14">
        <v>310.00552496328902</v>
      </c>
    </row>
    <row r="15" spans="1:8">
      <c r="A15" s="15" t="s">
        <v>82</v>
      </c>
      <c r="B15" s="12" t="s">
        <v>43</v>
      </c>
      <c r="C15" s="12">
        <v>991.44759999999997</v>
      </c>
      <c r="D15" s="13">
        <v>9.9144760000000005</v>
      </c>
      <c r="E15" s="14">
        <v>9914476</v>
      </c>
      <c r="F15" s="14">
        <f>F5+F4</f>
        <v>18683</v>
      </c>
      <c r="G15" s="14">
        <v>1884.4162818085399</v>
      </c>
      <c r="H15" s="14">
        <v>530.66830808756595</v>
      </c>
    </row>
    <row r="16" spans="1:8">
      <c r="A16" s="15" t="s">
        <v>82</v>
      </c>
      <c r="B16" s="12" t="s">
        <v>44</v>
      </c>
      <c r="C16" s="12">
        <v>4460.4692999999997</v>
      </c>
      <c r="D16" s="13">
        <v>44.604692999999997</v>
      </c>
      <c r="E16" s="14">
        <v>44604693</v>
      </c>
      <c r="F16" s="14">
        <f>F8</f>
        <v>22759</v>
      </c>
      <c r="G16" s="14">
        <v>510.23779044953898</v>
      </c>
      <c r="H16" s="14">
        <v>1959.8705127641799</v>
      </c>
    </row>
    <row r="17" spans="1:8">
      <c r="A17" s="15" t="s">
        <v>82</v>
      </c>
      <c r="B17" s="12" t="s">
        <v>45</v>
      </c>
      <c r="C17" s="12">
        <v>2422.7883000000002</v>
      </c>
      <c r="D17" s="13">
        <v>24.227882999999999</v>
      </c>
      <c r="E17" s="14">
        <v>24227883</v>
      </c>
      <c r="F17" s="14">
        <f>F9+F10</f>
        <v>87616</v>
      </c>
      <c r="G17" s="14">
        <v>3616.3291691643099</v>
      </c>
      <c r="H17" s="14">
        <v>276.52350027392299</v>
      </c>
    </row>
    <row r="18" spans="1:8">
      <c r="A18" s="15" t="s">
        <v>82</v>
      </c>
      <c r="B18" s="12" t="s">
        <v>46</v>
      </c>
      <c r="C18" s="12">
        <v>2610.7946999999999</v>
      </c>
      <c r="D18" s="13">
        <v>26.107946999999999</v>
      </c>
      <c r="E18" s="14">
        <v>26107947</v>
      </c>
      <c r="F18" s="14">
        <f>F12+F11</f>
        <v>39250</v>
      </c>
      <c r="G18" s="14">
        <v>1503.3736662633801</v>
      </c>
      <c r="H18" s="14">
        <v>665.17062420382194</v>
      </c>
    </row>
    <row r="19" spans="1:8">
      <c r="A19" s="15" t="s">
        <v>82</v>
      </c>
      <c r="B19" s="12" t="s">
        <v>47</v>
      </c>
      <c r="C19" s="12">
        <v>3510.3517000000002</v>
      </c>
      <c r="D19" s="13">
        <v>35.103516999999997</v>
      </c>
      <c r="E19" s="14">
        <v>35103517</v>
      </c>
      <c r="F19" s="14">
        <f>F13</f>
        <v>28506</v>
      </c>
      <c r="G19" s="14">
        <v>812.05538464992003</v>
      </c>
      <c r="H19" s="14">
        <v>1231.4430996983101</v>
      </c>
    </row>
    <row r="20" spans="1:8">
      <c r="A20" s="16" t="s">
        <v>83</v>
      </c>
      <c r="B20" s="12" t="s">
        <v>48</v>
      </c>
      <c r="C20" s="12">
        <v>797.96310000000005</v>
      </c>
      <c r="D20" s="13">
        <v>7.9796310000000004</v>
      </c>
      <c r="E20" s="14">
        <v>7979631</v>
      </c>
      <c r="F20" s="14">
        <f>F2+F3</f>
        <v>47625</v>
      </c>
      <c r="G20" s="14">
        <v>5968.3210915392001</v>
      </c>
      <c r="H20" s="14">
        <v>167.551307086614</v>
      </c>
    </row>
    <row r="21" spans="1:8">
      <c r="A21" s="16" t="s">
        <v>83</v>
      </c>
      <c r="B21" s="12" t="s">
        <v>49</v>
      </c>
      <c r="C21" s="12">
        <v>1882.3946000000001</v>
      </c>
      <c r="D21" s="13">
        <v>18.823945999999999</v>
      </c>
      <c r="E21" s="14">
        <v>18823946</v>
      </c>
      <c r="F21" s="14">
        <f>+F6+F7+F4+F5</f>
        <v>25538</v>
      </c>
      <c r="G21" s="14">
        <v>1356.6762250592899</v>
      </c>
      <c r="H21" s="14">
        <v>737.09554389537197</v>
      </c>
    </row>
    <row r="22" spans="1:8">
      <c r="A22" s="16" t="s">
        <v>83</v>
      </c>
      <c r="B22" s="12" t="s">
        <v>50</v>
      </c>
      <c r="C22" s="12">
        <v>13004.404</v>
      </c>
      <c r="D22" s="13">
        <v>130.04404</v>
      </c>
      <c r="E22" s="14">
        <v>130044040</v>
      </c>
      <c r="F22" s="14">
        <f>+F12+F13+F8+F9+F10+F11</f>
        <v>178131</v>
      </c>
      <c r="G22" s="14">
        <v>1369.7744241104799</v>
      </c>
      <c r="H22" s="14">
        <v>730.047212444774</v>
      </c>
    </row>
    <row r="23" spans="1:8">
      <c r="A23" s="16"/>
      <c r="B23" s="17" t="s">
        <v>51</v>
      </c>
      <c r="C23" s="18">
        <v>15684.761699999999</v>
      </c>
      <c r="D23" s="18">
        <v>156.84761700000001</v>
      </c>
      <c r="E23" s="19">
        <v>156847617</v>
      </c>
      <c r="F23" s="20">
        <f>+F22+F20+F21</f>
        <v>251294</v>
      </c>
      <c r="G23" s="20">
        <v>1602.15376431253</v>
      </c>
      <c r="H23" s="20">
        <v>624.15981678830406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2026-05-28T13:30:24Z</dcterms:created>
  <dcterms:modified xsi:type="dcterms:W3CDTF">2026-05-28T14:46:28Z</dcterms:modified>
  <cp:category/>
  <cp:contentStatus/>
</cp:coreProperties>
</file>